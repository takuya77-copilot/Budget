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G:\共有ドライブ\田村駒：営業成績・予算入力システム\08_保守運用\20260227\08_リリース作業\Access本番\"/>
    </mc:Choice>
  </mc:AlternateContent>
  <xr:revisionPtr revIDLastSave="0" documentId="13_ncr:1_{60ABEE83-7F72-4FD6-ADCB-16B3457DC13B}" xr6:coauthVersionLast="47" xr6:coauthVersionMax="47" xr10:uidLastSave="{00000000-0000-0000-0000-000000000000}"/>
  <bookViews>
    <workbookView xWindow="-108" yWindow="-108" windowWidth="23256" windowHeight="12456" tabRatio="687" xr2:uid="{6A0DCB68-C1BD-42B9-9040-36138201F105}"/>
  </bookViews>
  <sheets>
    <sheet name="Ａ" sheetId="1" r:id="rId1"/>
    <sheet name="Ｂ" sheetId="17" r:id="rId2"/>
    <sheet name="Ｃ１" sheetId="7" r:id="rId3"/>
    <sheet name="Ｃ" sheetId="5" r:id="rId4"/>
    <sheet name="非_D" sheetId="18" r:id="rId5"/>
    <sheet name="年間予算表" sheetId="12" r:id="rId6"/>
    <sheet name="年間予算_営業費" sheetId="20" r:id="rId7"/>
    <sheet name="雑収入雑損失" sheetId="21" r:id="rId8"/>
    <sheet name="受取配当金" sheetId="22" r:id="rId9"/>
    <sheet name="営業外収益" sheetId="23" r:id="rId10"/>
    <sheet name="基本情報" sheetId="3" r:id="rId11"/>
  </sheets>
  <functionGroups builtInGroupCount="19"/>
  <definedNames>
    <definedName name="_xlnm.Print_Area" localSheetId="0">Ａ!$A$2:$O$156</definedName>
    <definedName name="_xlnm.Print_Area" localSheetId="4">非_D!$D$1:$R$18</definedName>
    <definedName name="_xlnm.Print_Titles" localSheetId="0">Ａ!$2:$3</definedName>
    <definedName name="Sheet1">#REF!</definedName>
    <definedName name="オールクリアー" localSheetId="1">Ｂ!オールクリアー</definedName>
    <definedName name="オールクリアー" localSheetId="7">雑収入雑損失!オールクリアー</definedName>
    <definedName name="オールクリアー" localSheetId="4">非_D!オールクリアー</definedName>
    <definedName name="オールクリアー">[0]!オールクリアー</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48" i="5" l="1"/>
  <c r="Q43" i="5"/>
  <c r="R44" i="5"/>
  <c r="O50" i="5"/>
  <c r="M50" i="5"/>
  <c r="K50" i="5"/>
  <c r="I50" i="5"/>
  <c r="G50" i="5"/>
  <c r="Q44" i="5"/>
  <c r="O44" i="5"/>
  <c r="M44" i="5"/>
  <c r="K44" i="5"/>
  <c r="I44" i="5"/>
  <c r="G44" i="5"/>
  <c r="E50" i="5"/>
  <c r="E44" i="5"/>
  <c r="AA52" i="5"/>
  <c r="Z52" i="5"/>
  <c r="Y52" i="5"/>
  <c r="X52" i="5"/>
  <c r="W52" i="5"/>
  <c r="V52" i="5"/>
  <c r="AB52" i="5" s="1"/>
  <c r="AA51" i="5"/>
  <c r="Z51" i="5"/>
  <c r="Y51" i="5"/>
  <c r="X51" i="5"/>
  <c r="AB51" i="5" s="1"/>
  <c r="W51" i="5"/>
  <c r="V51" i="5"/>
  <c r="U54" i="5"/>
  <c r="E24" i="1"/>
  <c r="E23" i="1"/>
  <c r="E22" i="1"/>
  <c r="E21" i="1"/>
  <c r="E20" i="1"/>
  <c r="E19" i="1"/>
  <c r="E6" i="1"/>
  <c r="I13" i="1"/>
  <c r="I12" i="1"/>
  <c r="I11" i="1"/>
  <c r="I10" i="1"/>
  <c r="I9" i="1"/>
  <c r="I8" i="1"/>
  <c r="I7" i="1"/>
  <c r="Q50" i="5" l="1"/>
  <c r="H3" i="1"/>
  <c r="K3" i="17"/>
  <c r="G4" i="7"/>
  <c r="I3" i="5"/>
  <c r="H4" i="18"/>
  <c r="F3" i="12"/>
  <c r="G3" i="20"/>
  <c r="X2" i="21"/>
  <c r="D5" i="22"/>
  <c r="E4" i="23"/>
  <c r="I3" i="17"/>
  <c r="E4" i="7"/>
  <c r="G3" i="5"/>
  <c r="F4" i="18"/>
  <c r="D3" i="12"/>
  <c r="F3" i="20"/>
  <c r="V2" i="21"/>
  <c r="D4" i="22"/>
  <c r="D4" i="23"/>
  <c r="C4" i="23"/>
  <c r="C4" i="22"/>
  <c r="T2" i="21"/>
  <c r="E3" i="20"/>
  <c r="B3" i="12"/>
  <c r="E4" i="18"/>
  <c r="E3" i="5"/>
  <c r="C4" i="7"/>
  <c r="G3" i="17"/>
  <c r="B2" i="23"/>
  <c r="B2" i="22"/>
  <c r="C2" i="21"/>
  <c r="C1" i="20"/>
  <c r="C1" i="12"/>
  <c r="D2" i="18"/>
  <c r="C1" i="5"/>
  <c r="B2" i="7"/>
  <c r="D1" i="17"/>
  <c r="G132" i="1"/>
  <c r="G130" i="1"/>
  <c r="G129" i="1"/>
  <c r="G128" i="1"/>
  <c r="G127" i="1"/>
  <c r="G126" i="1"/>
  <c r="G125" i="1"/>
  <c r="G124" i="1"/>
  <c r="G123" i="1"/>
  <c r="G122" i="1"/>
  <c r="G121" i="1"/>
  <c r="G120" i="1"/>
  <c r="G114" i="1"/>
  <c r="G112" i="1"/>
  <c r="G111" i="1"/>
  <c r="G110" i="1"/>
  <c r="G109" i="1"/>
  <c r="G108" i="1"/>
  <c r="G107" i="1"/>
  <c r="G106" i="1"/>
  <c r="G105" i="1"/>
  <c r="G104" i="1"/>
  <c r="G103" i="1"/>
  <c r="G102" i="1"/>
  <c r="G96" i="1"/>
  <c r="G94" i="1"/>
  <c r="G93" i="1"/>
  <c r="G92" i="1"/>
  <c r="G91" i="1"/>
  <c r="G90" i="1"/>
  <c r="G89" i="1"/>
  <c r="G88" i="1"/>
  <c r="G87" i="1"/>
  <c r="G86" i="1"/>
  <c r="G85" i="1"/>
  <c r="G84" i="1"/>
  <c r="G78" i="1"/>
  <c r="G76" i="1"/>
  <c r="G75" i="1"/>
  <c r="G74" i="1"/>
  <c r="G73" i="1"/>
  <c r="G72" i="1"/>
  <c r="G71" i="1"/>
  <c r="G70" i="1"/>
  <c r="G69" i="1"/>
  <c r="G68" i="1"/>
  <c r="G67" i="1"/>
  <c r="G66" i="1"/>
  <c r="G60" i="1"/>
  <c r="G58" i="1"/>
  <c r="G57" i="1"/>
  <c r="G56" i="1"/>
  <c r="G55" i="1"/>
  <c r="G54" i="1"/>
  <c r="G53" i="1"/>
  <c r="G52" i="1"/>
  <c r="G51" i="1"/>
  <c r="G50" i="1"/>
  <c r="G49" i="1"/>
  <c r="G48" i="1"/>
  <c r="G42" i="1"/>
  <c r="G40" i="1"/>
  <c r="G39" i="1"/>
  <c r="F8" i="18"/>
  <c r="G32" i="1" l="1"/>
  <c r="G34" i="1"/>
  <c r="H9" i="18"/>
  <c r="H10" i="18"/>
  <c r="H11" i="18"/>
  <c r="H12" i="18"/>
  <c r="H13" i="18"/>
  <c r="H14" i="18"/>
  <c r="D34" i="1"/>
  <c r="D38" i="1"/>
  <c r="D37" i="1"/>
  <c r="D36" i="1"/>
  <c r="D35" i="1"/>
  <c r="D33" i="1"/>
  <c r="D32" i="1"/>
  <c r="D31" i="1"/>
  <c r="D30" i="1"/>
  <c r="F8" i="12"/>
  <c r="B32" i="1"/>
  <c r="D13" i="3"/>
  <c r="F2" i="5"/>
  <c r="F7" i="5" s="1"/>
  <c r="H24" i="12"/>
  <c r="G38" i="1"/>
  <c r="G37" i="1"/>
  <c r="G36" i="1"/>
  <c r="G35" i="1"/>
  <c r="G33" i="1"/>
  <c r="G31" i="1"/>
  <c r="G30" i="1"/>
  <c r="H7" i="5" l="1"/>
  <c r="J7" i="5"/>
  <c r="L14" i="1" l="1"/>
  <c r="L15" i="1" s="1"/>
  <c r="H19" i="1"/>
  <c r="I150" i="1" l="1"/>
  <c r="G150" i="1" s="1"/>
  <c r="K150" i="1"/>
  <c r="K154" i="1" s="1"/>
  <c r="I151" i="1"/>
  <c r="G151" i="1" s="1"/>
  <c r="I152" i="1"/>
  <c r="I153" i="1"/>
  <c r="G153" i="1" s="1"/>
  <c r="K133" i="1"/>
  <c r="I133" i="1"/>
  <c r="E132" i="1"/>
  <c r="E133" i="1" s="1"/>
  <c r="H131" i="1"/>
  <c r="D130" i="1"/>
  <c r="D129" i="1"/>
  <c r="K115" i="1"/>
  <c r="I115" i="1"/>
  <c r="E114" i="1"/>
  <c r="E115" i="1" s="1"/>
  <c r="H113" i="1"/>
  <c r="D112" i="1"/>
  <c r="D111" i="1"/>
  <c r="K97" i="1"/>
  <c r="I97" i="1"/>
  <c r="E96" i="1"/>
  <c r="E97" i="1" s="1"/>
  <c r="H95" i="1"/>
  <c r="D94" i="1"/>
  <c r="D93" i="1"/>
  <c r="K79" i="1"/>
  <c r="I79" i="1"/>
  <c r="E78" i="1"/>
  <c r="E79" i="1" s="1"/>
  <c r="H77" i="1"/>
  <c r="D76" i="1"/>
  <c r="D75" i="1"/>
  <c r="K43" i="1"/>
  <c r="I43" i="1"/>
  <c r="E42" i="1"/>
  <c r="E43" i="1" s="1"/>
  <c r="H41" i="1"/>
  <c r="G41" i="1" s="1"/>
  <c r="D40" i="1"/>
  <c r="D39" i="1"/>
  <c r="K61" i="1"/>
  <c r="I61" i="1"/>
  <c r="H133" i="1" l="1"/>
  <c r="G131" i="1"/>
  <c r="G43" i="1"/>
  <c r="G44" i="1"/>
  <c r="H97" i="1"/>
  <c r="G95" i="1"/>
  <c r="H79" i="1"/>
  <c r="G77" i="1"/>
  <c r="H115" i="1"/>
  <c r="G113" i="1"/>
  <c r="H43" i="1"/>
  <c r="I154" i="1"/>
  <c r="G115" i="1" l="1"/>
  <c r="G116" i="1"/>
  <c r="G79" i="1"/>
  <c r="G80" i="1"/>
  <c r="G97" i="1"/>
  <c r="G98" i="1"/>
  <c r="G133" i="1"/>
  <c r="G134" i="1"/>
  <c r="L46" i="7"/>
  <c r="L45" i="7"/>
  <c r="C43" i="7" l="1"/>
  <c r="L41" i="7"/>
  <c r="C41" i="7" s="1"/>
  <c r="L40" i="7"/>
  <c r="C40" i="7" s="1"/>
  <c r="L44" i="7"/>
  <c r="L43" i="7"/>
  <c r="L42" i="7"/>
  <c r="C42" i="7" s="1"/>
  <c r="L39" i="7"/>
  <c r="C39" i="7" s="1"/>
  <c r="L38" i="7"/>
  <c r="C38" i="7" s="1"/>
  <c r="L37" i="7"/>
  <c r="C37" i="7" s="1"/>
  <c r="L36" i="7"/>
  <c r="C36" i="7" s="1"/>
  <c r="L35" i="7"/>
  <c r="C35" i="7" s="1"/>
  <c r="L34" i="7"/>
  <c r="C34" i="7" s="1"/>
  <c r="L33" i="7"/>
  <c r="C33" i="7" s="1"/>
  <c r="L32" i="7"/>
  <c r="C32" i="7" s="1"/>
  <c r="L31" i="7"/>
  <c r="C31" i="7" s="1"/>
  <c r="L30" i="7"/>
  <c r="C30" i="7" s="1"/>
  <c r="L29" i="7"/>
  <c r="C29" i="7" s="1"/>
  <c r="L28" i="7"/>
  <c r="C28" i="7" s="1"/>
  <c r="B46" i="7"/>
  <c r="B45" i="7"/>
  <c r="B44" i="7"/>
  <c r="B43" i="7"/>
  <c r="B42" i="7"/>
  <c r="B41" i="7"/>
  <c r="B40" i="7"/>
  <c r="B39" i="7"/>
  <c r="B38" i="7"/>
  <c r="B37" i="7"/>
  <c r="B36" i="7"/>
  <c r="B35" i="7"/>
  <c r="B34" i="7"/>
  <c r="B33" i="7"/>
  <c r="B32" i="7"/>
  <c r="B31" i="7"/>
  <c r="B30" i="7"/>
  <c r="B29" i="7"/>
  <c r="B28" i="7"/>
  <c r="I9" i="7"/>
  <c r="H9" i="7"/>
  <c r="G9" i="7"/>
  <c r="F9" i="7"/>
  <c r="E9" i="7"/>
  <c r="D9" i="7"/>
  <c r="C9" i="7"/>
  <c r="C14" i="3"/>
  <c r="D14" i="3" s="1"/>
  <c r="C12" i="3"/>
  <c r="D12" i="3" s="1"/>
  <c r="C15" i="3" l="1"/>
  <c r="C153" i="1"/>
  <c r="C152" i="1"/>
  <c r="C151" i="1"/>
  <c r="C150" i="1"/>
  <c r="C132" i="1"/>
  <c r="C131" i="1"/>
  <c r="C130" i="1"/>
  <c r="C129" i="1"/>
  <c r="C114" i="1"/>
  <c r="C113" i="1"/>
  <c r="C112" i="1"/>
  <c r="C111" i="1"/>
  <c r="C96" i="1"/>
  <c r="C95" i="1"/>
  <c r="C94" i="1"/>
  <c r="C93" i="1"/>
  <c r="C78" i="1"/>
  <c r="C77" i="1"/>
  <c r="C76" i="1"/>
  <c r="C75" i="1"/>
  <c r="C60" i="1"/>
  <c r="C59" i="1"/>
  <c r="C58" i="1"/>
  <c r="C57" i="1"/>
  <c r="D15" i="3" l="1"/>
  <c r="C16" i="3"/>
  <c r="D16" i="3" s="1"/>
  <c r="E14" i="3"/>
  <c r="E15" i="3" s="1"/>
  <c r="E16" i="3" s="1"/>
  <c r="E17" i="3" s="1"/>
  <c r="E18" i="3" s="1"/>
  <c r="E12" i="3"/>
  <c r="I8" i="18"/>
  <c r="B6" i="1"/>
  <c r="E60" i="1"/>
  <c r="H59" i="1"/>
  <c r="G59" i="1" s="1"/>
  <c r="H6" i="18"/>
  <c r="E6" i="18"/>
  <c r="G61" i="1" l="1"/>
  <c r="G62" i="1"/>
  <c r="I10" i="18"/>
  <c r="I14" i="18"/>
  <c r="I12" i="18"/>
  <c r="I13" i="18"/>
  <c r="I11" i="18"/>
  <c r="C17" i="3"/>
  <c r="D17" i="3" s="1"/>
  <c r="H61" i="1"/>
  <c r="H152" i="1"/>
  <c r="E61" i="1"/>
  <c r="E153" i="1"/>
  <c r="E154" i="1" s="1"/>
  <c r="D20" i="22"/>
  <c r="D19" i="22"/>
  <c r="D18" i="22"/>
  <c r="D17" i="22"/>
  <c r="D16" i="22"/>
  <c r="D15" i="22"/>
  <c r="D13" i="22"/>
  <c r="D12" i="22"/>
  <c r="D11" i="22"/>
  <c r="D10" i="22"/>
  <c r="D9" i="22"/>
  <c r="D8" i="22"/>
  <c r="H154" i="1" l="1"/>
  <c r="G152" i="1"/>
  <c r="G154" i="1" s="1"/>
  <c r="I9" i="18"/>
  <c r="C18" i="3"/>
  <c r="K4" i="21"/>
  <c r="D39" i="23"/>
  <c r="C39" i="23"/>
  <c r="D32" i="23"/>
  <c r="C32" i="23"/>
  <c r="D21" i="23"/>
  <c r="C21" i="23"/>
  <c r="X40" i="21"/>
  <c r="Q40" i="21"/>
  <c r="X28" i="21"/>
  <c r="I4" i="21"/>
  <c r="G4" i="21"/>
  <c r="E4" i="21"/>
  <c r="F35" i="20"/>
  <c r="F29" i="20"/>
  <c r="D14" i="23"/>
  <c r="C14" i="23"/>
  <c r="K60" i="22"/>
  <c r="N27" i="22"/>
  <c r="N26" i="22"/>
  <c r="O26" i="22" s="1"/>
  <c r="N25" i="22"/>
  <c r="N24" i="22"/>
  <c r="O24" i="22" s="1"/>
  <c r="N23" i="22"/>
  <c r="O23" i="22" s="1"/>
  <c r="N22" i="22"/>
  <c r="N21" i="22"/>
  <c r="O21" i="22" s="1"/>
  <c r="N20" i="22"/>
  <c r="O20" i="22" s="1"/>
  <c r="N19" i="22"/>
  <c r="O19" i="22" s="1"/>
  <c r="N18" i="22"/>
  <c r="O18" i="22" s="1"/>
  <c r="N17" i="22"/>
  <c r="O17" i="22" s="1"/>
  <c r="N16" i="22"/>
  <c r="O16" i="22" s="1"/>
  <c r="N15" i="22"/>
  <c r="O15" i="22" s="1"/>
  <c r="N14" i="22"/>
  <c r="O14" i="22" s="1"/>
  <c r="N13" i="22"/>
  <c r="O13" i="22" s="1"/>
  <c r="N12" i="22"/>
  <c r="O12" i="22" s="1"/>
  <c r="N11" i="22"/>
  <c r="O11" i="22" s="1"/>
  <c r="N10" i="22"/>
  <c r="O10" i="22" s="1"/>
  <c r="N9" i="22"/>
  <c r="O9" i="22" s="1"/>
  <c r="N8" i="22"/>
  <c r="O8" i="22" s="1"/>
  <c r="N7" i="22"/>
  <c r="O7" i="22" s="1"/>
  <c r="N6" i="22"/>
  <c r="N5" i="22"/>
  <c r="O5" i="22" s="1"/>
  <c r="P40" i="21"/>
  <c r="O40" i="21"/>
  <c r="N40" i="21"/>
  <c r="M40" i="21"/>
  <c r="L40" i="21"/>
  <c r="K40" i="21"/>
  <c r="J40" i="21"/>
  <c r="I40" i="21"/>
  <c r="H40" i="21"/>
  <c r="G40" i="21"/>
  <c r="F40" i="21"/>
  <c r="E40" i="21"/>
  <c r="R39" i="21"/>
  <c r="Y39" i="21" s="1"/>
  <c r="Q39" i="21"/>
  <c r="R38" i="21"/>
  <c r="Y38" i="21" s="1"/>
  <c r="Q38" i="21"/>
  <c r="R37" i="21"/>
  <c r="Y37" i="21" s="1"/>
  <c r="Q37" i="21"/>
  <c r="R36" i="21"/>
  <c r="Y36" i="21" s="1"/>
  <c r="Q36" i="21"/>
  <c r="R35" i="21"/>
  <c r="Y35" i="21" s="1"/>
  <c r="Q35" i="21"/>
  <c r="R34" i="21"/>
  <c r="Y34" i="21" s="1"/>
  <c r="Q34" i="21"/>
  <c r="R33" i="21"/>
  <c r="Y33" i="21" s="1"/>
  <c r="Q33" i="21"/>
  <c r="R32" i="21"/>
  <c r="Y32" i="21" s="1"/>
  <c r="Q32" i="21"/>
  <c r="R31" i="21"/>
  <c r="Y31" i="21" s="1"/>
  <c r="Q31" i="21"/>
  <c r="R30" i="21"/>
  <c r="Y30" i="21" s="1"/>
  <c r="Q30" i="21"/>
  <c r="P28" i="21"/>
  <c r="O28" i="21"/>
  <c r="N28" i="21"/>
  <c r="M28" i="21"/>
  <c r="L28" i="21"/>
  <c r="K28" i="21"/>
  <c r="J28" i="21"/>
  <c r="I28" i="21"/>
  <c r="H28" i="21"/>
  <c r="G28" i="21"/>
  <c r="F28" i="21"/>
  <c r="E28" i="21"/>
  <c r="R27" i="21"/>
  <c r="Y27" i="21" s="1"/>
  <c r="Q27" i="21"/>
  <c r="R26" i="21"/>
  <c r="Y26" i="21" s="1"/>
  <c r="Q26" i="21"/>
  <c r="R25" i="21"/>
  <c r="Y25" i="21" s="1"/>
  <c r="Q25" i="21"/>
  <c r="R24" i="21"/>
  <c r="Y24" i="21" s="1"/>
  <c r="Q24" i="21"/>
  <c r="R23" i="21"/>
  <c r="Y23" i="21" s="1"/>
  <c r="Q23" i="21"/>
  <c r="R22" i="21"/>
  <c r="Y22" i="21" s="1"/>
  <c r="Q22" i="21"/>
  <c r="R21" i="21"/>
  <c r="Y21" i="21" s="1"/>
  <c r="Q21" i="21"/>
  <c r="R20" i="21"/>
  <c r="Y20" i="21" s="1"/>
  <c r="Q20" i="21"/>
  <c r="R19" i="21"/>
  <c r="Y19" i="21" s="1"/>
  <c r="Q19" i="21"/>
  <c r="R18" i="21"/>
  <c r="Y18" i="21" s="1"/>
  <c r="Q18" i="21"/>
  <c r="R17" i="21"/>
  <c r="Y17" i="21" s="1"/>
  <c r="Q17" i="21"/>
  <c r="R16" i="21"/>
  <c r="Y16" i="21" s="1"/>
  <c r="Q16" i="21"/>
  <c r="R15" i="21"/>
  <c r="Y15" i="21" s="1"/>
  <c r="Q15" i="21"/>
  <c r="R14" i="21"/>
  <c r="Y14" i="21" s="1"/>
  <c r="Q14" i="21"/>
  <c r="R13" i="21"/>
  <c r="Y13" i="21" s="1"/>
  <c r="Q13" i="21"/>
  <c r="R12" i="21"/>
  <c r="Y12" i="21" s="1"/>
  <c r="Q12" i="21"/>
  <c r="R11" i="21"/>
  <c r="Y11" i="21" s="1"/>
  <c r="Q11" i="21"/>
  <c r="R10" i="21"/>
  <c r="Y10" i="21" s="1"/>
  <c r="Q10" i="21"/>
  <c r="R9" i="21"/>
  <c r="Y9" i="21" s="1"/>
  <c r="Q9" i="21"/>
  <c r="R8" i="21"/>
  <c r="Y8" i="21" s="1"/>
  <c r="Q8" i="21"/>
  <c r="R7" i="21"/>
  <c r="Y7" i="21" s="1"/>
  <c r="Q7" i="21"/>
  <c r="D11" i="18"/>
  <c r="D10" i="18"/>
  <c r="D9" i="18"/>
  <c r="G6" i="5"/>
  <c r="W43" i="5" s="1"/>
  <c r="E6" i="5"/>
  <c r="V43" i="5" s="1"/>
  <c r="H15" i="18"/>
  <c r="F15" i="18"/>
  <c r="E15" i="18"/>
  <c r="D2" i="1"/>
  <c r="E2" i="1"/>
  <c r="D3" i="1"/>
  <c r="F3" i="1"/>
  <c r="B7" i="1"/>
  <c r="B8" i="1"/>
  <c r="B9" i="1"/>
  <c r="D13" i="1"/>
  <c r="E13" i="1"/>
  <c r="H13" i="1"/>
  <c r="F14" i="12" s="1"/>
  <c r="J14" i="12" s="1"/>
  <c r="J13" i="1"/>
  <c r="B18" i="1"/>
  <c r="B19" i="1"/>
  <c r="B20" i="1"/>
  <c r="B21" i="1"/>
  <c r="J25" i="1"/>
  <c r="F23" i="12" s="1"/>
  <c r="J23" i="12" s="1"/>
  <c r="B28" i="1"/>
  <c r="B30" i="1"/>
  <c r="B31" i="1"/>
  <c r="B33" i="1"/>
  <c r="B34" i="1"/>
  <c r="B35" i="1"/>
  <c r="M35" i="1"/>
  <c r="B36" i="1"/>
  <c r="B37" i="1"/>
  <c r="B38" i="1"/>
  <c r="F44" i="1"/>
  <c r="F45" i="1" s="1"/>
  <c r="I44" i="1"/>
  <c r="I45" i="1" s="1"/>
  <c r="J44" i="1"/>
  <c r="J45" i="1" s="1"/>
  <c r="K44" i="1"/>
  <c r="K45" i="1" s="1"/>
  <c r="B46" i="1"/>
  <c r="B48" i="1"/>
  <c r="D48" i="1"/>
  <c r="B49" i="1"/>
  <c r="D49" i="1"/>
  <c r="B50" i="1"/>
  <c r="D50" i="1"/>
  <c r="B51" i="1"/>
  <c r="D51" i="1"/>
  <c r="B52" i="1"/>
  <c r="D52" i="1"/>
  <c r="B53" i="1"/>
  <c r="D53" i="1"/>
  <c r="M53" i="1"/>
  <c r="B54" i="1"/>
  <c r="D54" i="1"/>
  <c r="B55" i="1"/>
  <c r="D55" i="1"/>
  <c r="B56" i="1"/>
  <c r="D56" i="1"/>
  <c r="D57" i="1"/>
  <c r="D150" i="1" s="1"/>
  <c r="D58" i="1"/>
  <c r="D151" i="1" s="1"/>
  <c r="E62" i="1"/>
  <c r="E63" i="1" s="1"/>
  <c r="F62" i="1"/>
  <c r="F63" i="1" s="1"/>
  <c r="I62" i="1"/>
  <c r="I63" i="1" s="1"/>
  <c r="J62" i="1"/>
  <c r="J63" i="1" s="1"/>
  <c r="K62" i="1"/>
  <c r="K63" i="1" s="1"/>
  <c r="B64" i="1"/>
  <c r="B66" i="1"/>
  <c r="D66" i="1"/>
  <c r="B67" i="1"/>
  <c r="D67" i="1"/>
  <c r="B68" i="1"/>
  <c r="D68" i="1"/>
  <c r="B69" i="1"/>
  <c r="D69" i="1"/>
  <c r="B70" i="1"/>
  <c r="D70" i="1"/>
  <c r="B71" i="1"/>
  <c r="D71" i="1"/>
  <c r="M71" i="1"/>
  <c r="B72" i="1"/>
  <c r="D72" i="1"/>
  <c r="B73" i="1"/>
  <c r="D73" i="1"/>
  <c r="B74" i="1"/>
  <c r="D74" i="1"/>
  <c r="F80" i="1"/>
  <c r="F81" i="1" s="1"/>
  <c r="I80" i="1"/>
  <c r="I81" i="1" s="1"/>
  <c r="J80" i="1"/>
  <c r="J81" i="1" s="1"/>
  <c r="K80" i="1"/>
  <c r="K81" i="1" s="1"/>
  <c r="B84" i="1"/>
  <c r="D84" i="1"/>
  <c r="B85" i="1"/>
  <c r="D85" i="1"/>
  <c r="B86" i="1"/>
  <c r="D86" i="1"/>
  <c r="B87" i="1"/>
  <c r="D87" i="1"/>
  <c r="B88" i="1"/>
  <c r="D88" i="1"/>
  <c r="B89" i="1"/>
  <c r="D89" i="1"/>
  <c r="M89" i="1"/>
  <c r="B90" i="1"/>
  <c r="D90" i="1"/>
  <c r="B91" i="1"/>
  <c r="D91" i="1"/>
  <c r="B92" i="1"/>
  <c r="D92" i="1"/>
  <c r="F98" i="1"/>
  <c r="F99" i="1" s="1"/>
  <c r="I98" i="1"/>
  <c r="I99" i="1" s="1"/>
  <c r="J98" i="1"/>
  <c r="J99" i="1" s="1"/>
  <c r="K98" i="1"/>
  <c r="K99" i="1" s="1"/>
  <c r="B102" i="1"/>
  <c r="D102" i="1"/>
  <c r="B103" i="1"/>
  <c r="D103" i="1"/>
  <c r="B104" i="1"/>
  <c r="D104" i="1"/>
  <c r="B105" i="1"/>
  <c r="D105" i="1"/>
  <c r="B106" i="1"/>
  <c r="D106" i="1"/>
  <c r="B107" i="1"/>
  <c r="D107" i="1"/>
  <c r="M107" i="1"/>
  <c r="B108" i="1"/>
  <c r="D108" i="1"/>
  <c r="B109" i="1"/>
  <c r="D109" i="1"/>
  <c r="B110" i="1"/>
  <c r="D110" i="1"/>
  <c r="F116" i="1"/>
  <c r="F117" i="1" s="1"/>
  <c r="I116" i="1"/>
  <c r="I117" i="1" s="1"/>
  <c r="J116" i="1"/>
  <c r="J117" i="1" s="1"/>
  <c r="K116" i="1"/>
  <c r="K117" i="1" s="1"/>
  <c r="B120" i="1"/>
  <c r="D120" i="1"/>
  <c r="B121" i="1"/>
  <c r="D121" i="1"/>
  <c r="B122" i="1"/>
  <c r="D122" i="1"/>
  <c r="B123" i="1"/>
  <c r="D123" i="1"/>
  <c r="B124" i="1"/>
  <c r="D124" i="1"/>
  <c r="B125" i="1"/>
  <c r="D125" i="1"/>
  <c r="M125" i="1"/>
  <c r="B126" i="1"/>
  <c r="D126" i="1"/>
  <c r="B127" i="1"/>
  <c r="D127" i="1"/>
  <c r="B128" i="1"/>
  <c r="D128" i="1"/>
  <c r="F134" i="1"/>
  <c r="F135" i="1" s="1"/>
  <c r="I134" i="1"/>
  <c r="I135" i="1" s="1"/>
  <c r="J134" i="1"/>
  <c r="J135" i="1" s="1"/>
  <c r="K134" i="1"/>
  <c r="K135" i="1" s="1"/>
  <c r="B141" i="1"/>
  <c r="E141" i="1"/>
  <c r="F141" i="1"/>
  <c r="H141" i="1"/>
  <c r="I141" i="1"/>
  <c r="J141" i="1"/>
  <c r="K141" i="1"/>
  <c r="M141" i="1"/>
  <c r="B142" i="1"/>
  <c r="E142" i="1"/>
  <c r="F142" i="1"/>
  <c r="H142" i="1"/>
  <c r="I142" i="1"/>
  <c r="J142" i="1"/>
  <c r="K142" i="1"/>
  <c r="M142" i="1"/>
  <c r="B143" i="1"/>
  <c r="E143" i="1"/>
  <c r="F143" i="1"/>
  <c r="H143" i="1"/>
  <c r="I143" i="1"/>
  <c r="J143" i="1"/>
  <c r="K143" i="1"/>
  <c r="M143" i="1"/>
  <c r="B144" i="1"/>
  <c r="E144" i="1"/>
  <c r="F144" i="1"/>
  <c r="H144" i="1"/>
  <c r="I144" i="1"/>
  <c r="J144" i="1"/>
  <c r="K144" i="1"/>
  <c r="M144" i="1"/>
  <c r="B145" i="1"/>
  <c r="E145" i="1"/>
  <c r="F145" i="1"/>
  <c r="H145" i="1"/>
  <c r="I145" i="1"/>
  <c r="J145" i="1"/>
  <c r="K145" i="1"/>
  <c r="M145" i="1"/>
  <c r="B146" i="1"/>
  <c r="E146" i="1"/>
  <c r="F146" i="1"/>
  <c r="H146" i="1"/>
  <c r="I146" i="1"/>
  <c r="J146" i="1"/>
  <c r="K146" i="1"/>
  <c r="B147" i="1"/>
  <c r="E147" i="1"/>
  <c r="F147" i="1"/>
  <c r="H147" i="1"/>
  <c r="I147" i="1"/>
  <c r="J147" i="1"/>
  <c r="K147" i="1"/>
  <c r="B148" i="1"/>
  <c r="E148" i="1"/>
  <c r="F148" i="1"/>
  <c r="H148" i="1"/>
  <c r="I148" i="1"/>
  <c r="J148" i="1"/>
  <c r="K148" i="1"/>
  <c r="B149" i="1"/>
  <c r="E149" i="1"/>
  <c r="F149" i="1"/>
  <c r="H149" i="1"/>
  <c r="I149" i="1"/>
  <c r="J149" i="1"/>
  <c r="K149" i="1"/>
  <c r="F5" i="17"/>
  <c r="H5" i="17"/>
  <c r="J5" i="17"/>
  <c r="R7" i="17"/>
  <c r="S7" i="17"/>
  <c r="R8" i="17"/>
  <c r="S8" i="17"/>
  <c r="R9" i="17"/>
  <c r="S9" i="17"/>
  <c r="R10" i="17"/>
  <c r="S10" i="17"/>
  <c r="R11" i="17"/>
  <c r="S11" i="17"/>
  <c r="R12" i="17"/>
  <c r="S12" i="17"/>
  <c r="R13" i="17"/>
  <c r="S13" i="17"/>
  <c r="R14" i="17"/>
  <c r="S14" i="17"/>
  <c r="R15" i="17"/>
  <c r="S15" i="17"/>
  <c r="R16" i="17"/>
  <c r="S16" i="17"/>
  <c r="R17" i="17"/>
  <c r="S17" i="17"/>
  <c r="F18" i="17"/>
  <c r="G18" i="17"/>
  <c r="G7" i="1" s="1"/>
  <c r="F7" i="1" s="1"/>
  <c r="H18" i="17"/>
  <c r="I18" i="17"/>
  <c r="G8" i="1" s="1"/>
  <c r="F8" i="1" s="1"/>
  <c r="J18" i="17"/>
  <c r="K18" i="17"/>
  <c r="L18" i="17"/>
  <c r="M18" i="17"/>
  <c r="G10" i="1" s="1"/>
  <c r="N18" i="17"/>
  <c r="O18" i="17"/>
  <c r="P18" i="17"/>
  <c r="Q18" i="17"/>
  <c r="I6" i="5"/>
  <c r="X43" i="5" s="1"/>
  <c r="Q8" i="5"/>
  <c r="R8" i="5"/>
  <c r="E7" i="20" s="1"/>
  <c r="G7" i="20" s="1"/>
  <c r="Q9" i="5"/>
  <c r="R9" i="5"/>
  <c r="E8" i="20" s="1"/>
  <c r="G8" i="20" s="1"/>
  <c r="Q10" i="5"/>
  <c r="R10" i="5"/>
  <c r="E9" i="20" s="1"/>
  <c r="G9" i="20" s="1"/>
  <c r="Q11" i="5"/>
  <c r="R11" i="5"/>
  <c r="E10" i="20" s="1"/>
  <c r="G10" i="20" s="1"/>
  <c r="E30" i="5"/>
  <c r="F30" i="5"/>
  <c r="V53" i="5" s="1"/>
  <c r="G30" i="5"/>
  <c r="H30" i="5"/>
  <c r="W53" i="5" s="1"/>
  <c r="I30" i="5"/>
  <c r="J30" i="5"/>
  <c r="X53" i="5" s="1"/>
  <c r="K30" i="5"/>
  <c r="L30" i="5"/>
  <c r="Y53" i="5" s="1"/>
  <c r="M30" i="5"/>
  <c r="N30" i="5"/>
  <c r="Z53" i="5" s="1"/>
  <c r="P30" i="5"/>
  <c r="AA53" i="5" s="1"/>
  <c r="Q12" i="5"/>
  <c r="R12" i="5"/>
  <c r="E11" i="20" s="1"/>
  <c r="G11" i="20" s="1"/>
  <c r="Q13" i="5"/>
  <c r="R13" i="5"/>
  <c r="E12" i="20" s="1"/>
  <c r="G12" i="20" s="1"/>
  <c r="Q14" i="5"/>
  <c r="R14" i="5"/>
  <c r="E13" i="20" s="1"/>
  <c r="G13" i="20" s="1"/>
  <c r="Q15" i="5"/>
  <c r="R15" i="5"/>
  <c r="E14" i="20" s="1"/>
  <c r="G14" i="20" s="1"/>
  <c r="Q16" i="5"/>
  <c r="R16" i="5"/>
  <c r="E15" i="20" s="1"/>
  <c r="G15" i="20" s="1"/>
  <c r="Q17" i="5"/>
  <c r="R17" i="5"/>
  <c r="E16" i="20" s="1"/>
  <c r="G16" i="20" s="1"/>
  <c r="Q18" i="5"/>
  <c r="R18" i="5"/>
  <c r="E17" i="20" s="1"/>
  <c r="G17" i="20" s="1"/>
  <c r="Q19" i="5"/>
  <c r="R19" i="5"/>
  <c r="E18" i="20" s="1"/>
  <c r="G18" i="20" s="1"/>
  <c r="Q20" i="5"/>
  <c r="R20" i="5"/>
  <c r="E19" i="20" s="1"/>
  <c r="G19" i="20" s="1"/>
  <c r="Q21" i="5"/>
  <c r="R21" i="5"/>
  <c r="E20" i="20" s="1"/>
  <c r="G20" i="20" s="1"/>
  <c r="Q22" i="5"/>
  <c r="R22" i="5"/>
  <c r="E21" i="20" s="1"/>
  <c r="G21" i="20" s="1"/>
  <c r="Q23" i="5"/>
  <c r="R23" i="5"/>
  <c r="E22" i="20" s="1"/>
  <c r="G22" i="20" s="1"/>
  <c r="Q24" i="5"/>
  <c r="R24" i="5"/>
  <c r="E23" i="20" s="1"/>
  <c r="G23" i="20" s="1"/>
  <c r="Q25" i="5"/>
  <c r="R25" i="5"/>
  <c r="E24" i="20" s="1"/>
  <c r="G24" i="20" s="1"/>
  <c r="Q26" i="5"/>
  <c r="R26" i="5"/>
  <c r="E25" i="20" s="1"/>
  <c r="G25" i="20" s="1"/>
  <c r="Q27" i="5"/>
  <c r="R27" i="5"/>
  <c r="E26" i="20" s="1"/>
  <c r="G26" i="20" s="1"/>
  <c r="Q28" i="5"/>
  <c r="R28" i="5"/>
  <c r="E27" i="20" s="1"/>
  <c r="G27" i="20" s="1"/>
  <c r="F43" i="5"/>
  <c r="H43" i="5" s="1"/>
  <c r="F45" i="5"/>
  <c r="H45" i="5"/>
  <c r="J45" i="5"/>
  <c r="L45" i="5"/>
  <c r="N45" i="5"/>
  <c r="P45" i="5"/>
  <c r="F46" i="5"/>
  <c r="H46" i="5"/>
  <c r="J46" i="5"/>
  <c r="L46" i="5"/>
  <c r="N46" i="5"/>
  <c r="P46" i="5"/>
  <c r="F47" i="5"/>
  <c r="H47" i="5"/>
  <c r="J47" i="5"/>
  <c r="L47" i="5"/>
  <c r="N47" i="5"/>
  <c r="P47" i="5"/>
  <c r="B10" i="7"/>
  <c r="D15" i="7"/>
  <c r="D16" i="7"/>
  <c r="C19" i="7"/>
  <c r="E50" i="7" s="1"/>
  <c r="D19" i="7"/>
  <c r="F50" i="7" s="1"/>
  <c r="E19" i="7"/>
  <c r="G50" i="7" s="1"/>
  <c r="I20" i="7"/>
  <c r="I21" i="7"/>
  <c r="I22" i="7"/>
  <c r="C23" i="7"/>
  <c r="D23" i="7"/>
  <c r="E23" i="7"/>
  <c r="F23" i="7"/>
  <c r="G23" i="7"/>
  <c r="H23" i="7"/>
  <c r="K47" i="7"/>
  <c r="E51" i="7"/>
  <c r="F51" i="7"/>
  <c r="G51" i="7"/>
  <c r="H51" i="7"/>
  <c r="I51" i="7"/>
  <c r="J51" i="7"/>
  <c r="J8" i="12"/>
  <c r="J11" i="12"/>
  <c r="H12" i="12"/>
  <c r="H15" i="12"/>
  <c r="H20" i="12"/>
  <c r="H22" i="12" s="1"/>
  <c r="AB53" i="5" l="1"/>
  <c r="H44" i="5"/>
  <c r="AA50" i="5"/>
  <c r="AA49" i="5"/>
  <c r="F44" i="5"/>
  <c r="V49" i="5"/>
  <c r="G12" i="1"/>
  <c r="F12" i="1" s="1"/>
  <c r="G135" i="1" s="1"/>
  <c r="G11" i="1"/>
  <c r="F11" i="1" s="1"/>
  <c r="G9" i="1"/>
  <c r="F9" i="1" s="1"/>
  <c r="G81" i="1" s="1"/>
  <c r="G141" i="1"/>
  <c r="G144" i="1"/>
  <c r="G145" i="1"/>
  <c r="G146" i="1"/>
  <c r="G143" i="1"/>
  <c r="G149" i="1"/>
  <c r="G147" i="1"/>
  <c r="G142" i="1"/>
  <c r="G155" i="1" s="1"/>
  <c r="G148" i="1"/>
  <c r="D18" i="3"/>
  <c r="F1" i="17"/>
  <c r="C2" i="22"/>
  <c r="C2" i="23"/>
  <c r="E1" i="5"/>
  <c r="C2" i="7"/>
  <c r="E2" i="21"/>
  <c r="H1" i="12"/>
  <c r="E2" i="18"/>
  <c r="M126" i="1"/>
  <c r="M108" i="1"/>
  <c r="M90" i="1"/>
  <c r="M72" i="1"/>
  <c r="M54" i="1"/>
  <c r="G117" i="1"/>
  <c r="C11" i="1"/>
  <c r="K21" i="17"/>
  <c r="C9" i="1"/>
  <c r="F25" i="1"/>
  <c r="F19" i="12" s="1"/>
  <c r="J19" i="12" s="1"/>
  <c r="B11" i="7"/>
  <c r="D19" i="1"/>
  <c r="F11" i="12"/>
  <c r="H8" i="12" s="1"/>
  <c r="H9" i="12" s="1"/>
  <c r="H20" i="1"/>
  <c r="H21" i="1" s="1"/>
  <c r="D12" i="18"/>
  <c r="B82" i="1"/>
  <c r="H44" i="1"/>
  <c r="E44" i="1"/>
  <c r="E45" i="1" s="1"/>
  <c r="E134" i="1"/>
  <c r="E135" i="1" s="1"/>
  <c r="H134" i="1"/>
  <c r="E116" i="1"/>
  <c r="E117" i="1" s="1"/>
  <c r="H116" i="1"/>
  <c r="H117" i="1" s="1"/>
  <c r="H98" i="1"/>
  <c r="E98" i="1"/>
  <c r="E99" i="1" s="1"/>
  <c r="E80" i="1"/>
  <c r="E81" i="1" s="1"/>
  <c r="H80" i="1"/>
  <c r="H81" i="1" s="1"/>
  <c r="F19" i="7"/>
  <c r="H50" i="7" s="1"/>
  <c r="L5" i="17"/>
  <c r="B10" i="1"/>
  <c r="B22" i="1"/>
  <c r="K6" i="5"/>
  <c r="Y43" i="5" s="1"/>
  <c r="Q28" i="21"/>
  <c r="D116" i="1"/>
  <c r="D141" i="1"/>
  <c r="D22" i="23"/>
  <c r="D40" i="23"/>
  <c r="C22" i="23"/>
  <c r="C40" i="23"/>
  <c r="D14" i="22"/>
  <c r="D21" i="22"/>
  <c r="Y28" i="21"/>
  <c r="R28" i="21"/>
  <c r="R40" i="21"/>
  <c r="Y40" i="21"/>
  <c r="F31" i="20"/>
  <c r="F37" i="20" s="1"/>
  <c r="E29" i="20"/>
  <c r="G29" i="20"/>
  <c r="I15" i="18"/>
  <c r="S18" i="17"/>
  <c r="D144" i="1"/>
  <c r="R18" i="17"/>
  <c r="H62" i="1"/>
  <c r="D142" i="1"/>
  <c r="D146" i="1"/>
  <c r="M146" i="1"/>
  <c r="D148" i="1"/>
  <c r="D147" i="1"/>
  <c r="I23" i="7"/>
  <c r="K155" i="1"/>
  <c r="K156" i="1" s="1"/>
  <c r="F155" i="1"/>
  <c r="F156" i="1" s="1"/>
  <c r="D145" i="1"/>
  <c r="X47" i="5"/>
  <c r="W44" i="5"/>
  <c r="X44" i="5"/>
  <c r="X54" i="5" s="1"/>
  <c r="W46" i="5"/>
  <c r="W50" i="5"/>
  <c r="W48" i="5"/>
  <c r="X48" i="5"/>
  <c r="Y48" i="5"/>
  <c r="X49" i="5"/>
  <c r="Z48" i="5"/>
  <c r="X45" i="5"/>
  <c r="X50" i="5"/>
  <c r="Y50" i="5"/>
  <c r="X46" i="5"/>
  <c r="Z50" i="5"/>
  <c r="Y44" i="5"/>
  <c r="Z44" i="5"/>
  <c r="Z54" i="5" s="1"/>
  <c r="Y46" i="5"/>
  <c r="Z46" i="5"/>
  <c r="AA46" i="5"/>
  <c r="V45" i="5"/>
  <c r="V47" i="5"/>
  <c r="W45" i="5"/>
  <c r="W47" i="5"/>
  <c r="W49" i="5"/>
  <c r="AA44" i="5"/>
  <c r="AA54" i="5" s="1"/>
  <c r="R46" i="5"/>
  <c r="E33" i="20" s="1"/>
  <c r="Y45" i="5"/>
  <c r="Y47" i="5"/>
  <c r="Y49" i="5"/>
  <c r="AA48" i="5"/>
  <c r="Z45" i="5"/>
  <c r="Z47" i="5"/>
  <c r="Z49" i="5"/>
  <c r="AA45" i="5"/>
  <c r="AA47" i="5"/>
  <c r="V44" i="5"/>
  <c r="V46" i="5"/>
  <c r="V48" i="5"/>
  <c r="V50" i="5"/>
  <c r="N48" i="5"/>
  <c r="P48" i="5"/>
  <c r="F10" i="12"/>
  <c r="O30" i="5"/>
  <c r="J43" i="5"/>
  <c r="J44" i="5" s="1"/>
  <c r="J155" i="1"/>
  <c r="J156" i="1" s="1"/>
  <c r="L48" i="5"/>
  <c r="C47" i="7"/>
  <c r="I155" i="1"/>
  <c r="I156" i="1" s="1"/>
  <c r="D143" i="1"/>
  <c r="D51" i="7"/>
  <c r="D62" i="1"/>
  <c r="R47" i="5"/>
  <c r="E34" i="20" s="1"/>
  <c r="G34" i="20" s="1"/>
  <c r="H48" i="5"/>
  <c r="R45" i="5"/>
  <c r="E32" i="20" s="1"/>
  <c r="G32" i="20" s="1"/>
  <c r="D80" i="1"/>
  <c r="D98" i="1"/>
  <c r="D44" i="1"/>
  <c r="R30" i="5"/>
  <c r="D149" i="1"/>
  <c r="J48" i="5"/>
  <c r="D134" i="1"/>
  <c r="Q30" i="5"/>
  <c r="F48" i="5"/>
  <c r="W54" i="5" l="1"/>
  <c r="V54" i="5"/>
  <c r="Y54" i="5"/>
  <c r="F50" i="5"/>
  <c r="C19" i="1" s="1"/>
  <c r="AB45" i="5"/>
  <c r="AB50" i="5"/>
  <c r="AB48" i="5"/>
  <c r="AB46" i="5"/>
  <c r="AB44" i="5"/>
  <c r="AB54" i="5" s="1"/>
  <c r="H50" i="5"/>
  <c r="C20" i="1" s="1"/>
  <c r="AB47" i="5"/>
  <c r="AB49" i="5"/>
  <c r="C12" i="1"/>
  <c r="H135" i="1"/>
  <c r="Q21" i="17"/>
  <c r="O21" i="17"/>
  <c r="D81" i="1"/>
  <c r="D135" i="1"/>
  <c r="D117" i="1"/>
  <c r="M147" i="1"/>
  <c r="M36" i="1"/>
  <c r="H155" i="1"/>
  <c r="E155" i="1"/>
  <c r="E156" i="1" s="1"/>
  <c r="B11" i="1"/>
  <c r="B100" i="1"/>
  <c r="D13" i="18"/>
  <c r="G19" i="7"/>
  <c r="I50" i="7" s="1"/>
  <c r="M6" i="5"/>
  <c r="Z43" i="5" s="1"/>
  <c r="N5" i="17"/>
  <c r="B23" i="1"/>
  <c r="M4" i="21"/>
  <c r="F2" i="1"/>
  <c r="E35" i="20"/>
  <c r="G35" i="20" s="1"/>
  <c r="G33" i="20"/>
  <c r="D155" i="1"/>
  <c r="D22" i="22"/>
  <c r="R48" i="5"/>
  <c r="D20" i="1"/>
  <c r="H22" i="1"/>
  <c r="L43" i="5"/>
  <c r="L44" i="5" s="1"/>
  <c r="J50" i="5"/>
  <c r="C21" i="1" s="1"/>
  <c r="F15" i="12"/>
  <c r="J10" i="12"/>
  <c r="J15" i="12" s="1"/>
  <c r="G20" i="1" l="1"/>
  <c r="I20" i="1" s="1"/>
  <c r="K20" i="1" s="1"/>
  <c r="D14" i="18"/>
  <c r="H19" i="7"/>
  <c r="J50" i="7" s="1"/>
  <c r="O4" i="21"/>
  <c r="B12" i="1"/>
  <c r="O6" i="5"/>
  <c r="AA43" i="5" s="1"/>
  <c r="B118" i="1"/>
  <c r="P5" i="17"/>
  <c r="B24" i="1"/>
  <c r="D21" i="1"/>
  <c r="G21" i="1" s="1"/>
  <c r="I21" i="1" s="1"/>
  <c r="K21" i="1" s="1"/>
  <c r="H23" i="1"/>
  <c r="N43" i="5"/>
  <c r="N44" i="5" s="1"/>
  <c r="L50" i="5"/>
  <c r="C22" i="1" s="1"/>
  <c r="H24" i="1" l="1"/>
  <c r="D22" i="1"/>
  <c r="G22" i="1" s="1"/>
  <c r="I22" i="1" s="1"/>
  <c r="K22" i="1" s="1"/>
  <c r="P43" i="5"/>
  <c r="N50" i="5"/>
  <c r="C23" i="1" s="1"/>
  <c r="P44" i="5" l="1"/>
  <c r="P50" i="5" s="1"/>
  <c r="C24" i="1" s="1"/>
  <c r="R43" i="5"/>
  <c r="D23" i="1"/>
  <c r="G23" i="1" s="1"/>
  <c r="I23" i="1" s="1"/>
  <c r="K23" i="1" s="1"/>
  <c r="H25" i="1"/>
  <c r="R50" i="5" l="1"/>
  <c r="E30" i="20"/>
  <c r="F21" i="12"/>
  <c r="J21" i="12" s="1"/>
  <c r="D24" i="1"/>
  <c r="G24" i="1" s="1"/>
  <c r="I24" i="1" s="1"/>
  <c r="K24" i="1" l="1"/>
  <c r="G30" i="20"/>
  <c r="E31" i="20"/>
  <c r="D25" i="1"/>
  <c r="G31" i="20" l="1"/>
  <c r="E37" i="20"/>
  <c r="G37" i="20" s="1"/>
  <c r="F17" i="12"/>
  <c r="J17" i="12" l="1"/>
  <c r="E25" i="1" l="1"/>
  <c r="F18" i="12" l="1"/>
  <c r="J18" i="12" l="1"/>
  <c r="C7" i="1" l="1"/>
  <c r="H45" i="1"/>
  <c r="G21" i="17"/>
  <c r="G45" i="1" l="1"/>
  <c r="D45" i="1"/>
  <c r="C25" i="1" l="1"/>
  <c r="F16" i="12" s="1"/>
  <c r="G19" i="1"/>
  <c r="I19" i="1" s="1"/>
  <c r="K19" i="1" l="1"/>
  <c r="K25" i="1" s="1"/>
  <c r="I25" i="1"/>
  <c r="J16" i="12"/>
  <c r="F20" i="12"/>
  <c r="F22" i="12" s="1"/>
  <c r="F24" i="12" s="1"/>
  <c r="G25" i="1"/>
  <c r="J22" i="12" l="1"/>
  <c r="J24" i="12" s="1"/>
  <c r="J20" i="12"/>
  <c r="C8" i="1" l="1"/>
  <c r="D63" i="1" l="1"/>
  <c r="H63" i="1"/>
  <c r="G63" i="1"/>
  <c r="I21" i="17"/>
  <c r="G13" i="1"/>
  <c r="H156" i="1" s="1"/>
  <c r="H99" i="1"/>
  <c r="C10" i="1"/>
  <c r="D99" i="1" s="1"/>
  <c r="M21" i="17"/>
  <c r="S21" i="17" s="1"/>
  <c r="F10" i="1"/>
  <c r="F13" i="1" s="1"/>
  <c r="G156" i="1" s="1"/>
  <c r="C13" i="1" l="1"/>
  <c r="D156" i="1" s="1"/>
  <c r="F13" i="12"/>
  <c r="J13" i="12" s="1"/>
  <c r="G99" i="1"/>
  <c r="F9" i="12"/>
  <c r="J9" i="12" s="1"/>
  <c r="F12" i="12" l="1"/>
  <c r="J12"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960131</author>
  </authors>
  <commentList>
    <comment ref="C27" authorId="0" shapeId="0" xr:uid="{7907739F-A3BE-47E4-9FF8-F488582965CA}">
      <text>
        <r>
          <rPr>
            <sz val="9"/>
            <color indexed="81"/>
            <rFont val="ＭＳ Ｐゴシック"/>
            <family val="3"/>
            <charset val="128"/>
          </rPr>
          <t>実績は134期から発生</t>
        </r>
      </text>
    </comment>
  </commentList>
</comments>
</file>

<file path=xl/sharedStrings.xml><?xml version="1.0" encoding="utf-8"?>
<sst xmlns="http://schemas.openxmlformats.org/spreadsheetml/2006/main" count="552" uniqueCount="307">
  <si>
    <t>月別</t>
  </si>
  <si>
    <t>仕入高</t>
  </si>
  <si>
    <t>売上高</t>
  </si>
  <si>
    <t>棚卸高</t>
  </si>
  <si>
    <t>商品経費</t>
  </si>
  <si>
    <t>商品利益</t>
  </si>
  <si>
    <t>その他収支</t>
  </si>
  <si>
    <t>使用資金金利</t>
  </si>
  <si>
    <t>直接経費</t>
  </si>
  <si>
    <t>繰越棚卸高</t>
    <rPh sb="0" eb="2">
      <t>クリコ</t>
    </rPh>
    <rPh sb="2" eb="4">
      <t>タナオロ</t>
    </rPh>
    <rPh sb="4" eb="5">
      <t>タカ</t>
    </rPh>
    <phoneticPr fontId="3"/>
  </si>
  <si>
    <t>部長</t>
  </si>
  <si>
    <t>課長</t>
  </si>
  <si>
    <t>(部課名)</t>
  </si>
  <si>
    <t>（単位;千円)</t>
  </si>
  <si>
    <t>半期計</t>
  </si>
  <si>
    <t>前年実績</t>
  </si>
  <si>
    <t>予算</t>
  </si>
  <si>
    <t>保険料</t>
  </si>
  <si>
    <t>合計</t>
  </si>
  <si>
    <t>営業予算記入額</t>
  </si>
  <si>
    <t>＜内容明細＞</t>
  </si>
  <si>
    <t>（単位；千円）</t>
  </si>
  <si>
    <t>内容明細</t>
  </si>
  <si>
    <t>人件費</t>
  </si>
  <si>
    <t>旅費交通費</t>
  </si>
  <si>
    <t>交際費(割当分)</t>
  </si>
  <si>
    <t>交際費(確定分)</t>
  </si>
  <si>
    <t>広告宣伝費</t>
  </si>
  <si>
    <t>組合費</t>
  </si>
  <si>
    <t>調査研究費</t>
  </si>
  <si>
    <t>ﾚﾝﾀﾙ･ﾘｰｽ料</t>
  </si>
  <si>
    <t>業務委託料</t>
  </si>
  <si>
    <t>租税公課</t>
  </si>
  <si>
    <t>減価償却費</t>
  </si>
  <si>
    <t>支払手数料</t>
  </si>
  <si>
    <t>通信費</t>
  </si>
  <si>
    <t>事務用品費</t>
  </si>
  <si>
    <t>修繕費</t>
  </si>
  <si>
    <t>消耗備品費</t>
  </si>
  <si>
    <t>水道光熱費</t>
  </si>
  <si>
    <t>地代家賃</t>
  </si>
  <si>
    <t>寄附金</t>
  </si>
  <si>
    <t>雑費</t>
  </si>
  <si>
    <t>＜人件費＞</t>
  </si>
  <si>
    <t>＜氏名＞</t>
  </si>
  <si>
    <t>社内家賃</t>
  </si>
  <si>
    <t>直接経費合計</t>
  </si>
  <si>
    <t>計</t>
  </si>
  <si>
    <t>予算Ｂ表</t>
    <rPh sb="0" eb="2">
      <t>ヨサン</t>
    </rPh>
    <rPh sb="3" eb="4">
      <t>ヒョウ</t>
    </rPh>
    <phoneticPr fontId="8"/>
  </si>
  <si>
    <t>予算Ｃ表</t>
    <rPh sb="0" eb="2">
      <t>ヨサン</t>
    </rPh>
    <rPh sb="3" eb="4">
      <t>ヒョウ</t>
    </rPh>
    <phoneticPr fontId="8"/>
  </si>
  <si>
    <t>予算</t>
    <rPh sb="0" eb="2">
      <t>ヨサン</t>
    </rPh>
    <phoneticPr fontId="4"/>
  </si>
  <si>
    <t>本部ＣＤ</t>
    <rPh sb="0" eb="2">
      <t>ホンブ</t>
    </rPh>
    <phoneticPr fontId="9"/>
  </si>
  <si>
    <t>部ＣＤ</t>
    <rPh sb="0" eb="1">
      <t>ブ</t>
    </rPh>
    <phoneticPr fontId="9"/>
  </si>
  <si>
    <t>課ＣＤ</t>
    <rPh sb="0" eb="1">
      <t>カ</t>
    </rPh>
    <phoneticPr fontId="9"/>
  </si>
  <si>
    <t>売上高</t>
    <rPh sb="0" eb="2">
      <t>ウリアゲ</t>
    </rPh>
    <rPh sb="2" eb="3">
      <t>タカ</t>
    </rPh>
    <phoneticPr fontId="3"/>
  </si>
  <si>
    <t>棚卸高</t>
    <rPh sb="0" eb="2">
      <t>タナオロ</t>
    </rPh>
    <rPh sb="2" eb="3">
      <t>タカ</t>
    </rPh>
    <phoneticPr fontId="3"/>
  </si>
  <si>
    <t>計</t>
    <rPh sb="0" eb="1">
      <t>ケイ</t>
    </rPh>
    <phoneticPr fontId="3"/>
  </si>
  <si>
    <t>商品経費</t>
    <rPh sb="0" eb="2">
      <t>ショウヒン</t>
    </rPh>
    <rPh sb="2" eb="4">
      <t>ケイヒ</t>
    </rPh>
    <phoneticPr fontId="3"/>
  </si>
  <si>
    <t>商品利益</t>
    <rPh sb="0" eb="2">
      <t>ショウヒン</t>
    </rPh>
    <rPh sb="2" eb="4">
      <t>リエキ</t>
    </rPh>
    <phoneticPr fontId="3"/>
  </si>
  <si>
    <t>その他収支</t>
    <rPh sb="0" eb="3">
      <t>ソノタ</t>
    </rPh>
    <rPh sb="3" eb="5">
      <t>シュウシ</t>
    </rPh>
    <phoneticPr fontId="3"/>
  </si>
  <si>
    <t>検算数値</t>
  </si>
  <si>
    <t>総務間接費</t>
    <rPh sb="0" eb="2">
      <t>ソウム</t>
    </rPh>
    <rPh sb="2" eb="5">
      <t>カンセツヒ</t>
    </rPh>
    <phoneticPr fontId="3"/>
  </si>
  <si>
    <t>グループ</t>
    <phoneticPr fontId="3"/>
  </si>
  <si>
    <t>（単位：千円）</t>
    <rPh sb="1" eb="3">
      <t>タンイ</t>
    </rPh>
    <rPh sb="4" eb="6">
      <t>センエン</t>
    </rPh>
    <phoneticPr fontId="3"/>
  </si>
  <si>
    <t>見切損</t>
    <rPh sb="0" eb="2">
      <t>ミキ</t>
    </rPh>
    <rPh sb="2" eb="3">
      <t>ソン</t>
    </rPh>
    <phoneticPr fontId="3"/>
  </si>
  <si>
    <t xml:space="preserve">計 </t>
    <rPh sb="0" eb="1">
      <t>ケイ</t>
    </rPh>
    <phoneticPr fontId="3"/>
  </si>
  <si>
    <t>見切損はプラス入力して下さい｡↑</t>
    <rPh sb="0" eb="2">
      <t>ミキ</t>
    </rPh>
    <rPh sb="2" eb="3">
      <t>ソン</t>
    </rPh>
    <rPh sb="7" eb="9">
      <t>ニュウリョク</t>
    </rPh>
    <rPh sb="9" eb="12">
      <t>シテクダ</t>
    </rPh>
    <phoneticPr fontId="3"/>
  </si>
  <si>
    <t>検算数値</t>
    <rPh sb="0" eb="2">
      <t>ケンザン</t>
    </rPh>
    <rPh sb="2" eb="4">
      <t>スウチ</t>
    </rPh>
    <phoneticPr fontId="3"/>
  </si>
  <si>
    <t>営業間接費</t>
    <rPh sb="0" eb="2">
      <t>エイギョウ</t>
    </rPh>
    <rPh sb="2" eb="5">
      <t>カンセツヒ</t>
    </rPh>
    <phoneticPr fontId="3"/>
  </si>
  <si>
    <t>総務間接費</t>
    <rPh sb="0" eb="2">
      <t>ソウム</t>
    </rPh>
    <rPh sb="2" eb="5">
      <t>カンセツヒ</t>
    </rPh>
    <phoneticPr fontId="3"/>
  </si>
  <si>
    <t>対策費</t>
    <rPh sb="0" eb="3">
      <t>タイサクヒ</t>
    </rPh>
    <phoneticPr fontId="3"/>
  </si>
  <si>
    <t>グループ別商品利益予算表及びその他収支予算内訳</t>
    <rPh sb="4" eb="5">
      <t>ベツ</t>
    </rPh>
    <rPh sb="5" eb="7">
      <t>ショウヒン</t>
    </rPh>
    <rPh sb="7" eb="9">
      <t>リエキ</t>
    </rPh>
    <rPh sb="9" eb="11">
      <t>ヨサン</t>
    </rPh>
    <rPh sb="11" eb="12">
      <t>ヒョウ</t>
    </rPh>
    <rPh sb="12" eb="13">
      <t>オヨ</t>
    </rPh>
    <rPh sb="14" eb="17">
      <t>ソノタ</t>
    </rPh>
    <rPh sb="17" eb="19">
      <t>シュウシ</t>
    </rPh>
    <rPh sb="19" eb="21">
      <t>ヨサン</t>
    </rPh>
    <rPh sb="21" eb="23">
      <t>ウチワケ</t>
    </rPh>
    <phoneticPr fontId="3"/>
  </si>
  <si>
    <t>グループ別</t>
    <rPh sb="4" eb="5">
      <t>ベツ</t>
    </rPh>
    <phoneticPr fontId="3"/>
  </si>
  <si>
    <t>商品利益</t>
    <rPh sb="0" eb="2">
      <t>ショウヒン</t>
    </rPh>
    <rPh sb="2" eb="4">
      <t>リエキ</t>
    </rPh>
    <phoneticPr fontId="3"/>
  </si>
  <si>
    <t>見切損</t>
    <rPh sb="0" eb="2">
      <t>ミキ</t>
    </rPh>
    <rPh sb="2" eb="3">
      <t>ソン</t>
    </rPh>
    <phoneticPr fontId="3"/>
  </si>
  <si>
    <t>仕入割引</t>
    <rPh sb="0" eb="2">
      <t>シイ</t>
    </rPh>
    <rPh sb="2" eb="4">
      <t>ワリビキ</t>
    </rPh>
    <phoneticPr fontId="3"/>
  </si>
  <si>
    <t>雑損失</t>
    <rPh sb="0" eb="1">
      <t>ザツ</t>
    </rPh>
    <rPh sb="1" eb="3">
      <t>ソンシツ</t>
    </rPh>
    <phoneticPr fontId="3"/>
  </si>
  <si>
    <t>合計</t>
    <rPh sb="0" eb="1">
      <t>ゴウ</t>
    </rPh>
    <rPh sb="1" eb="2">
      <t>ケイ</t>
    </rPh>
    <phoneticPr fontId="3"/>
  </si>
  <si>
    <t>検算数値</t>
    <rPh sb="0" eb="2">
      <t>ケンザン</t>
    </rPh>
    <rPh sb="2" eb="4">
      <t>スウチ</t>
    </rPh>
    <phoneticPr fontId="3"/>
  </si>
  <si>
    <t>グループ別</t>
    <rPh sb="4" eb="5">
      <t>ベツ</t>
    </rPh>
    <phoneticPr fontId="3"/>
  </si>
  <si>
    <t>商品利益</t>
    <rPh sb="0" eb="2">
      <t>ショウヒン</t>
    </rPh>
    <rPh sb="2" eb="4">
      <t>リエキ</t>
    </rPh>
    <phoneticPr fontId="3"/>
  </si>
  <si>
    <t>商品利益</t>
    <rPh sb="0" eb="2">
      <t>ショウヒン</t>
    </rPh>
    <rPh sb="2" eb="4">
      <t>リエキ</t>
    </rPh>
    <phoneticPr fontId="3"/>
  </si>
  <si>
    <t>グループ別合計</t>
    <rPh sb="4" eb="5">
      <t>ベツ</t>
    </rPh>
    <rPh sb="5" eb="7">
      <t>ゴウケイ</t>
    </rPh>
    <phoneticPr fontId="3"/>
  </si>
  <si>
    <t>×６ヶ月</t>
    <rPh sb="2" eb="4">
      <t>カゲツ</t>
    </rPh>
    <phoneticPr fontId="3"/>
  </si>
  <si>
    <t>月額</t>
    <rPh sb="0" eb="2">
      <t>ゲツガク</t>
    </rPh>
    <phoneticPr fontId="3"/>
  </si>
  <si>
    <t>×６ヶ月</t>
    <rPh sb="2" eb="4">
      <t>カゲツ</t>
    </rPh>
    <phoneticPr fontId="3"/>
  </si>
  <si>
    <t>社内家賃</t>
    <rPh sb="0" eb="2">
      <t>シャナイ</t>
    </rPh>
    <rPh sb="2" eb="4">
      <t>ヤチン</t>
    </rPh>
    <phoneticPr fontId="3"/>
  </si>
  <si>
    <t>項目</t>
    <rPh sb="0" eb="2">
      <t>コウモク</t>
    </rPh>
    <phoneticPr fontId="3"/>
  </si>
  <si>
    <t>合　計</t>
    <rPh sb="0" eb="3">
      <t>ゴウケイ</t>
    </rPh>
    <phoneticPr fontId="3"/>
  </si>
  <si>
    <t>部長席</t>
    <rPh sb="0" eb="2">
      <t>ブチョウ</t>
    </rPh>
    <rPh sb="2" eb="3">
      <t>セキ</t>
    </rPh>
    <phoneticPr fontId="3"/>
  </si>
  <si>
    <t>計</t>
    <phoneticPr fontId="3"/>
  </si>
  <si>
    <t>区分</t>
    <rPh sb="0" eb="2">
      <t>クブン</t>
    </rPh>
    <phoneticPr fontId="3"/>
  </si>
  <si>
    <t>人数</t>
    <rPh sb="0" eb="2">
      <t>ニンズウ</t>
    </rPh>
    <phoneticPr fontId="3"/>
  </si>
  <si>
    <t>人件費単価</t>
    <rPh sb="0" eb="3">
      <t>ジンケンヒ</t>
    </rPh>
    <rPh sb="3" eb="5">
      <t>タンカ</t>
    </rPh>
    <phoneticPr fontId="3"/>
  </si>
  <si>
    <t>２．直接経費Ａ（社内家賃）・総務間接費</t>
    <rPh sb="2" eb="6">
      <t>チョクセツケイヒ</t>
    </rPh>
    <rPh sb="8" eb="10">
      <t>シャナイ</t>
    </rPh>
    <rPh sb="10" eb="12">
      <t>ヤチン</t>
    </rPh>
    <rPh sb="14" eb="16">
      <t>ソウム</t>
    </rPh>
    <rPh sb="16" eb="19">
      <t>カンセツヒ</t>
    </rPh>
    <phoneticPr fontId="3"/>
  </si>
  <si>
    <t>営業間接費明細</t>
    <rPh sb="0" eb="2">
      <t>エイギョウ</t>
    </rPh>
    <rPh sb="2" eb="5">
      <t>カンセツヒ</t>
    </rPh>
    <rPh sb="5" eb="7">
      <t>メイサイ</t>
    </rPh>
    <phoneticPr fontId="3"/>
  </si>
  <si>
    <t xml:space="preserve">直接経費Ａ 人件費予算 </t>
    <rPh sb="0" eb="4">
      <t>チョクセツケイヒ</t>
    </rPh>
    <rPh sb="6" eb="9">
      <t>ジンケンヒ</t>
    </rPh>
    <rPh sb="9" eb="11">
      <t>ヨサン</t>
    </rPh>
    <phoneticPr fontId="3"/>
  </si>
  <si>
    <t>科目別</t>
    <rPh sb="0" eb="3">
      <t>カモクベツ</t>
    </rPh>
    <phoneticPr fontId="4"/>
  </si>
  <si>
    <t>前年実績</t>
    <rPh sb="0" eb="2">
      <t>ゼンネン</t>
    </rPh>
    <rPh sb="2" eb="4">
      <t>ジッセキ</t>
    </rPh>
    <phoneticPr fontId="4"/>
  </si>
  <si>
    <t>部課名</t>
    <rPh sb="0" eb="1">
      <t>ブカ</t>
    </rPh>
    <rPh sb="1" eb="2">
      <t>カ</t>
    </rPh>
    <rPh sb="2" eb="3">
      <t>メイ</t>
    </rPh>
    <phoneticPr fontId="3"/>
  </si>
  <si>
    <t>月額負担額</t>
    <rPh sb="0" eb="2">
      <t>ゲツガク</t>
    </rPh>
    <rPh sb="2" eb="5">
      <t>フタンガク</t>
    </rPh>
    <phoneticPr fontId="3"/>
  </si>
  <si>
    <t>予算Ｃ１表</t>
    <rPh sb="0" eb="2">
      <t>ヨサン</t>
    </rPh>
    <rPh sb="4" eb="5">
      <t>ヒョウ</t>
    </rPh>
    <phoneticPr fontId="8"/>
  </si>
  <si>
    <t>３．直接経費Ｂ（本部長・事業部長・部長経費配分額）</t>
    <rPh sb="2" eb="6">
      <t>チョクセツケイヒ</t>
    </rPh>
    <rPh sb="8" eb="11">
      <t>ホンブチョウ</t>
    </rPh>
    <rPh sb="12" eb="14">
      <t>ジギョウ</t>
    </rPh>
    <rPh sb="14" eb="16">
      <t>ブチョウ</t>
    </rPh>
    <rPh sb="17" eb="19">
      <t>ブチョウ</t>
    </rPh>
    <rPh sb="19" eb="21">
      <t>ケイヒ</t>
    </rPh>
    <rPh sb="21" eb="24">
      <t>ハイブンガク</t>
    </rPh>
    <phoneticPr fontId="3"/>
  </si>
  <si>
    <t>４．直接経費Ａ（人件費予算明細）</t>
    <rPh sb="2" eb="6">
      <t>チョクセツケイヒ</t>
    </rPh>
    <rPh sb="8" eb="11">
      <t>ジンケンヒ</t>
    </rPh>
    <rPh sb="11" eb="13">
      <t>ヨサン</t>
    </rPh>
    <rPh sb="13" eb="15">
      <t>メイサイ</t>
    </rPh>
    <phoneticPr fontId="3"/>
  </si>
  <si>
    <t>本部長席</t>
    <phoneticPr fontId="6"/>
  </si>
  <si>
    <t>部長席等</t>
    <phoneticPr fontId="6"/>
  </si>
  <si>
    <t>直接経費A合計</t>
    <rPh sb="0" eb="4">
      <t>チョクセツケイヒ</t>
    </rPh>
    <rPh sb="5" eb="7">
      <t>ゴウケイ</t>
    </rPh>
    <phoneticPr fontId="6"/>
  </si>
  <si>
    <t>直接経費B合計</t>
    <rPh sb="0" eb="4">
      <t>チョクセツケイヒ</t>
    </rPh>
    <rPh sb="5" eb="7">
      <t>ゴウケイ</t>
    </rPh>
    <phoneticPr fontId="6"/>
  </si>
  <si>
    <t>増減人員名</t>
    <rPh sb="2" eb="4">
      <t>ジンイン</t>
    </rPh>
    <rPh sb="4" eb="5">
      <t>メイ</t>
    </rPh>
    <phoneticPr fontId="3"/>
  </si>
  <si>
    <t>１．営業間接費</t>
    <rPh sb="2" eb="7">
      <t>エイギョウカンセツヒ</t>
    </rPh>
    <phoneticPr fontId="3"/>
  </si>
  <si>
    <t>※ 千円単位で入力してください。</t>
    <rPh sb="2" eb="4">
      <t>センエン</t>
    </rPh>
    <rPh sb="4" eb="6">
      <t>タンイ</t>
    </rPh>
    <rPh sb="7" eb="9">
      <t>ニュウリョク</t>
    </rPh>
    <phoneticPr fontId="3"/>
  </si>
  <si>
    <t>部課名</t>
    <rPh sb="0" eb="1">
      <t>ブ</t>
    </rPh>
    <rPh sb="1" eb="2">
      <t>カ</t>
    </rPh>
    <rPh sb="2" eb="3">
      <t>メイ</t>
    </rPh>
    <phoneticPr fontId="3"/>
  </si>
  <si>
    <t>部名</t>
    <rPh sb="0" eb="1">
      <t>ブ</t>
    </rPh>
    <rPh sb="1" eb="2">
      <t>メイ</t>
    </rPh>
    <phoneticPr fontId="9"/>
  </si>
  <si>
    <t>課名</t>
    <rPh sb="0" eb="1">
      <t>カ</t>
    </rPh>
    <rPh sb="1" eb="2">
      <t>メイ</t>
    </rPh>
    <phoneticPr fontId="9"/>
  </si>
  <si>
    <t>ＧＰｺｰﾄﾞ</t>
    <phoneticPr fontId="3"/>
  </si>
  <si>
    <t>ＧＰ名</t>
    <rPh sb="2" eb="3">
      <t>メイ</t>
    </rPh>
    <phoneticPr fontId="3"/>
  </si>
  <si>
    <t>事業部長</t>
    <rPh sb="0" eb="2">
      <t>ジギョウ</t>
    </rPh>
    <rPh sb="2" eb="4">
      <t>ブチョウ</t>
    </rPh>
    <phoneticPr fontId="6"/>
  </si>
  <si>
    <t>部課名</t>
    <rPh sb="0" eb="1">
      <t>ブ</t>
    </rPh>
    <rPh sb="1" eb="2">
      <t>カ</t>
    </rPh>
    <rPh sb="2" eb="3">
      <t>メイ</t>
    </rPh>
    <phoneticPr fontId="3"/>
  </si>
  <si>
    <t>本部名</t>
    <rPh sb="0" eb="2">
      <t>ホンブ</t>
    </rPh>
    <rPh sb="2" eb="3">
      <t>メイ</t>
    </rPh>
    <phoneticPr fontId="9"/>
  </si>
  <si>
    <t>期数</t>
    <rPh sb="0" eb="1">
      <t>キ</t>
    </rPh>
    <rPh sb="1" eb="2">
      <t>スウ</t>
    </rPh>
    <phoneticPr fontId="9"/>
  </si>
  <si>
    <t>開始年月</t>
    <rPh sb="0" eb="2">
      <t>カイシ</t>
    </rPh>
    <rPh sb="2" eb="3">
      <t>ネンツキ</t>
    </rPh>
    <rPh sb="3" eb="4">
      <t>ツキ</t>
    </rPh>
    <phoneticPr fontId="9"/>
  </si>
  <si>
    <t>終了年月</t>
    <rPh sb="0" eb="2">
      <t>シュウリョウ</t>
    </rPh>
    <rPh sb="2" eb="3">
      <t>ネンツキ</t>
    </rPh>
    <rPh sb="3" eb="4">
      <t>ツキ</t>
    </rPh>
    <phoneticPr fontId="9"/>
  </si>
  <si>
    <t>年間予算表</t>
    <rPh sb="0" eb="2">
      <t>ネンカン</t>
    </rPh>
    <rPh sb="2" eb="4">
      <t>ヨサン</t>
    </rPh>
    <rPh sb="4" eb="5">
      <t>ヒョウ</t>
    </rPh>
    <phoneticPr fontId="3"/>
  </si>
  <si>
    <t>上期用</t>
    <rPh sb="0" eb="2">
      <t>カミキ</t>
    </rPh>
    <rPh sb="2" eb="3">
      <t>ヨウ</t>
    </rPh>
    <phoneticPr fontId="3"/>
  </si>
  <si>
    <t>本部長</t>
    <rPh sb="0" eb="2">
      <t>ホンブ</t>
    </rPh>
    <rPh sb="2" eb="3">
      <t>チョウ</t>
    </rPh>
    <phoneticPr fontId="3"/>
  </si>
  <si>
    <t>事業部長</t>
    <rPh sb="0" eb="2">
      <t>ジギョウ</t>
    </rPh>
    <rPh sb="2" eb="4">
      <t>ブチョウ</t>
    </rPh>
    <phoneticPr fontId="3"/>
  </si>
  <si>
    <t>部長</t>
    <rPh sb="0" eb="2">
      <t>ブチョウ</t>
    </rPh>
    <phoneticPr fontId="3"/>
  </si>
  <si>
    <t>課長</t>
    <rPh sb="0" eb="2">
      <t>カチョウ</t>
    </rPh>
    <phoneticPr fontId="3"/>
  </si>
  <si>
    <t>単位千円</t>
    <rPh sb="0" eb="2">
      <t>タンイ</t>
    </rPh>
    <rPh sb="2" eb="3">
      <t>セン</t>
    </rPh>
    <rPh sb="3" eb="4">
      <t>ヒャクマンエン</t>
    </rPh>
    <phoneticPr fontId="3"/>
  </si>
  <si>
    <t>上期</t>
    <rPh sb="0" eb="2">
      <t>カミキ</t>
    </rPh>
    <phoneticPr fontId="3"/>
  </si>
  <si>
    <t>下期</t>
    <rPh sb="0" eb="2">
      <t>シモキ</t>
    </rPh>
    <phoneticPr fontId="3"/>
  </si>
  <si>
    <t>（益率）</t>
    <rPh sb="1" eb="2">
      <t>エキ</t>
    </rPh>
    <rPh sb="2" eb="3">
      <t>リツ</t>
    </rPh>
    <phoneticPr fontId="3"/>
  </si>
  <si>
    <t>直接経費</t>
    <rPh sb="0" eb="2">
      <t>チョクセツ</t>
    </rPh>
    <rPh sb="2" eb="4">
      <t>ケイヒ</t>
    </rPh>
    <phoneticPr fontId="3"/>
  </si>
  <si>
    <t>使用資金金利</t>
    <rPh sb="0" eb="2">
      <t>シヨウ</t>
    </rPh>
    <rPh sb="2" eb="4">
      <t>シキン</t>
    </rPh>
    <rPh sb="4" eb="6">
      <t>キンリ</t>
    </rPh>
    <phoneticPr fontId="3"/>
  </si>
  <si>
    <t>経常利益</t>
    <rPh sb="0" eb="2">
      <t>ケイジョウ</t>
    </rPh>
    <rPh sb="2" eb="4">
      <t>リエキ</t>
    </rPh>
    <phoneticPr fontId="3"/>
  </si>
  <si>
    <t>対策費</t>
    <rPh sb="0" eb="3">
      <t>タイサクヒ</t>
    </rPh>
    <phoneticPr fontId="3"/>
  </si>
  <si>
    <t>純利益</t>
    <rPh sb="0" eb="3">
      <t>ジュンリエキ</t>
    </rPh>
    <phoneticPr fontId="3"/>
  </si>
  <si>
    <t>売上総利益</t>
    <rPh sb="0" eb="2">
      <t>ウリアゲ</t>
    </rPh>
    <rPh sb="2" eb="3">
      <t>ソウ</t>
    </rPh>
    <rPh sb="3" eb="5">
      <t>リエキ</t>
    </rPh>
    <phoneticPr fontId="3"/>
  </si>
  <si>
    <t>繰越高</t>
    <rPh sb="0" eb="2">
      <t>クリコ</t>
    </rPh>
    <rPh sb="2" eb="3">
      <t>タカ</t>
    </rPh>
    <phoneticPr fontId="3"/>
  </si>
  <si>
    <t>仕入高</t>
    <rPh sb="0" eb="2">
      <t>シイレ</t>
    </rPh>
    <rPh sb="2" eb="3">
      <t>タカ</t>
    </rPh>
    <phoneticPr fontId="3"/>
  </si>
  <si>
    <t>営業間接費</t>
    <rPh sb="0" eb="2">
      <t>エイギョウ</t>
    </rPh>
    <rPh sb="2" eb="4">
      <t>カンセツ</t>
    </rPh>
    <rPh sb="4" eb="5">
      <t>ヒ</t>
    </rPh>
    <phoneticPr fontId="3"/>
  </si>
  <si>
    <t>営業部利益</t>
    <rPh sb="0" eb="3">
      <t>エイギョウブ</t>
    </rPh>
    <rPh sb="3" eb="5">
      <t>リエキ</t>
    </rPh>
    <phoneticPr fontId="3"/>
  </si>
  <si>
    <t>人件費明細及び経費配分明細登録</t>
    <rPh sb="0" eb="3">
      <t>ジンケンヒ</t>
    </rPh>
    <rPh sb="3" eb="5">
      <t>メイサイ</t>
    </rPh>
    <rPh sb="5" eb="6">
      <t>オヨ</t>
    </rPh>
    <rPh sb="7" eb="9">
      <t>ケイヒ</t>
    </rPh>
    <rPh sb="9" eb="10">
      <t>ハイ</t>
    </rPh>
    <rPh sb="10" eb="11">
      <t>ブン</t>
    </rPh>
    <rPh sb="11" eb="13">
      <t>メイサイ</t>
    </rPh>
    <rPh sb="13" eb="15">
      <t>トウロク</t>
    </rPh>
    <phoneticPr fontId="3"/>
  </si>
  <si>
    <t>雑収入</t>
    <rPh sb="0" eb="1">
      <t>ザツ</t>
    </rPh>
    <rPh sb="1" eb="3">
      <t>シュウニュウ</t>
    </rPh>
    <phoneticPr fontId="3"/>
  </si>
  <si>
    <t>売上割引</t>
    <rPh sb="0" eb="2">
      <t>ウリアゲ</t>
    </rPh>
    <rPh sb="2" eb="4">
      <t>ワリビキ</t>
    </rPh>
    <phoneticPr fontId="3"/>
  </si>
  <si>
    <t>他収支調整</t>
    <rPh sb="0" eb="1">
      <t>ソノタ</t>
    </rPh>
    <rPh sb="1" eb="3">
      <t>シュウシ</t>
    </rPh>
    <rPh sb="3" eb="5">
      <t>チョウセイ</t>
    </rPh>
    <phoneticPr fontId="3"/>
  </si>
  <si>
    <t>計</t>
    <rPh sb="0" eb="1">
      <t>ケイ</t>
    </rPh>
    <phoneticPr fontId="3"/>
  </si>
  <si>
    <t>その他対策費</t>
    <rPh sb="0" eb="3">
      <t>ソノタ</t>
    </rPh>
    <rPh sb="3" eb="6">
      <t>タイサクヒ</t>
    </rPh>
    <phoneticPr fontId="3"/>
  </si>
  <si>
    <t>売上総利益</t>
    <rPh sb="0" eb="2">
      <t>ウリアゲ</t>
    </rPh>
    <rPh sb="2" eb="5">
      <t>ソウリエキ</t>
    </rPh>
    <phoneticPr fontId="3"/>
  </si>
  <si>
    <t>半期計</t>
    <rPh sb="0" eb="2">
      <t>ハンキ</t>
    </rPh>
    <phoneticPr fontId="3"/>
  </si>
  <si>
    <t>G外</t>
    <rPh sb="1" eb="2">
      <t>ガイ</t>
    </rPh>
    <phoneticPr fontId="3"/>
  </si>
  <si>
    <t>予算A表-2</t>
    <rPh sb="0" eb="2">
      <t>ヨサン</t>
    </rPh>
    <rPh sb="3" eb="4">
      <t>ヒョウ</t>
    </rPh>
    <phoneticPr fontId="8"/>
  </si>
  <si>
    <t>営業損益予算表</t>
    <rPh sb="0" eb="2">
      <t>エイギョウ</t>
    </rPh>
    <rPh sb="2" eb="4">
      <t>ソンエキ</t>
    </rPh>
    <rPh sb="6" eb="7">
      <t>ヒョウ</t>
    </rPh>
    <phoneticPr fontId="3"/>
  </si>
  <si>
    <t>社内売買は､下記の売上､仕入高に含める</t>
    <phoneticPr fontId="3"/>
  </si>
  <si>
    <t xml:space="preserve"> 注</t>
    <rPh sb="1" eb="2">
      <t>チュウ</t>
    </rPh>
    <phoneticPr fontId="3"/>
  </si>
  <si>
    <t xml:space="preserve">Ｃ表登録額 ⇒ </t>
    <rPh sb="1" eb="2">
      <t>ヒョウ</t>
    </rPh>
    <rPh sb="2" eb="4">
      <t>トウロク</t>
    </rPh>
    <rPh sb="4" eb="5">
      <t>ガク</t>
    </rPh>
    <phoneticPr fontId="3"/>
  </si>
  <si>
    <t>営業費予算表</t>
    <phoneticPr fontId="4"/>
  </si>
  <si>
    <t>見本費</t>
    <rPh sb="0" eb="2">
      <t>ミホン</t>
    </rPh>
    <rPh sb="2" eb="3">
      <t>ヒ</t>
    </rPh>
    <phoneticPr fontId="3"/>
  </si>
  <si>
    <t>ﾛｲﾔﾘﾃｨｰ</t>
    <phoneticPr fontId="3"/>
  </si>
  <si>
    <t>商品経費予算表</t>
    <phoneticPr fontId="3"/>
  </si>
  <si>
    <t>事業部長</t>
    <rPh sb="0" eb="2">
      <t>ジギョウ</t>
    </rPh>
    <rPh sb="2" eb="4">
      <t>ブチョウ</t>
    </rPh>
    <phoneticPr fontId="3"/>
  </si>
  <si>
    <t>運送費</t>
    <rPh sb="0" eb="3">
      <t>ウンソウヒ</t>
    </rPh>
    <phoneticPr fontId="3"/>
  </si>
  <si>
    <t>保管料</t>
    <rPh sb="0" eb="3">
      <t>ホカンリョウ</t>
    </rPh>
    <phoneticPr fontId="3"/>
  </si>
  <si>
    <t>検品検査料</t>
    <rPh sb="0" eb="2">
      <t>ケンピン</t>
    </rPh>
    <rPh sb="2" eb="4">
      <t>ケンサ</t>
    </rPh>
    <rPh sb="4" eb="5">
      <t>リョウ</t>
    </rPh>
    <phoneticPr fontId="3"/>
  </si>
  <si>
    <t>販売手数料</t>
    <rPh sb="0" eb="2">
      <t>ハンバイ</t>
    </rPh>
    <rPh sb="2" eb="5">
      <t>テスウリョウ</t>
    </rPh>
    <phoneticPr fontId="3"/>
  </si>
  <si>
    <t>企画料</t>
    <rPh sb="0" eb="2">
      <t>キカク</t>
    </rPh>
    <rPh sb="2" eb="3">
      <t>リョウ</t>
    </rPh>
    <phoneticPr fontId="3"/>
  </si>
  <si>
    <t>その他</t>
    <rPh sb="0" eb="3">
      <t>ソノタ</t>
    </rPh>
    <phoneticPr fontId="3"/>
  </si>
  <si>
    <t>その他作業代</t>
    <rPh sb="0" eb="3">
      <t>ソノタ</t>
    </rPh>
    <rPh sb="3" eb="5">
      <t>サギョウ</t>
    </rPh>
    <rPh sb="5" eb="6">
      <t>ダイ</t>
    </rPh>
    <phoneticPr fontId="3"/>
  </si>
  <si>
    <t>(内生地見本)</t>
    <rPh sb="1" eb="2">
      <t>ウチ</t>
    </rPh>
    <rPh sb="2" eb="4">
      <t>キジ</t>
    </rPh>
    <rPh sb="4" eb="6">
      <t>ミホン</t>
    </rPh>
    <phoneticPr fontId="3"/>
  </si>
  <si>
    <t>保管料</t>
    <rPh sb="0" eb="3">
      <t>ホカンリョウ</t>
    </rPh>
    <phoneticPr fontId="3"/>
  </si>
  <si>
    <t>販売手数料</t>
    <rPh sb="0" eb="2">
      <t>ハンバイ</t>
    </rPh>
    <rPh sb="2" eb="5">
      <t>テスウリョウ</t>
    </rPh>
    <phoneticPr fontId="3"/>
  </si>
  <si>
    <t>企画料</t>
    <rPh sb="0" eb="2">
      <t>キカク</t>
    </rPh>
    <rPh sb="2" eb="3">
      <t>リョウ</t>
    </rPh>
    <phoneticPr fontId="3"/>
  </si>
  <si>
    <t>事業部長</t>
    <rPh sb="0" eb="2">
      <t>ジギョウ</t>
    </rPh>
    <rPh sb="2" eb="4">
      <t>ブチョウ</t>
    </rPh>
    <phoneticPr fontId="3"/>
  </si>
  <si>
    <t>事業部長</t>
    <rPh sb="0" eb="2">
      <t>ジギョウ</t>
    </rPh>
    <rPh sb="2" eb="4">
      <t>ブチョウ</t>
    </rPh>
    <phoneticPr fontId="6"/>
  </si>
  <si>
    <t>営業本部長</t>
    <rPh sb="0" eb="2">
      <t>エイギョウ</t>
    </rPh>
    <rPh sb="2" eb="5">
      <t>ホンブチョウ</t>
    </rPh>
    <phoneticPr fontId="5"/>
  </si>
  <si>
    <t>＜摘要＞</t>
  </si>
  <si>
    <t>第１事業部</t>
  </si>
  <si>
    <t>第1事業部第1部</t>
  </si>
  <si>
    <t>1課　平生</t>
  </si>
  <si>
    <t>特殊取引</t>
  </si>
  <si>
    <t xml:space="preserve"> </t>
  </si>
  <si>
    <t>通し取引</t>
  </si>
  <si>
    <t>SG</t>
  </si>
  <si>
    <t>HR</t>
  </si>
  <si>
    <t>FJ</t>
  </si>
  <si>
    <t>TD</t>
  </si>
  <si>
    <t>本部長・事業部長・部長配分表</t>
    <rPh sb="0" eb="3">
      <t>ホンブチョウ</t>
    </rPh>
    <rPh sb="4" eb="8">
      <t>ジギョウブチョウ</t>
    </rPh>
    <rPh sb="9" eb="11">
      <t>ブチョウ</t>
    </rPh>
    <rPh sb="11" eb="13">
      <t>ハイブン</t>
    </rPh>
    <phoneticPr fontId="3"/>
  </si>
  <si>
    <t>部課CD</t>
    <rPh sb="0" eb="1">
      <t>ブ</t>
    </rPh>
    <rPh sb="1" eb="2">
      <t>カ</t>
    </rPh>
    <phoneticPr fontId="3"/>
  </si>
  <si>
    <t>％</t>
    <phoneticPr fontId="3"/>
  </si>
  <si>
    <t>計</t>
    <rPh sb="0" eb="1">
      <t>ケイ</t>
    </rPh>
    <phoneticPr fontId="3"/>
  </si>
  <si>
    <t>（単位：千円）</t>
    <rPh sb="1" eb="3">
      <t>タンイ</t>
    </rPh>
    <rPh sb="4" eb="5">
      <t>セン</t>
    </rPh>
    <rPh sb="5" eb="6">
      <t>エン</t>
    </rPh>
    <phoneticPr fontId="8"/>
  </si>
  <si>
    <t>売上高</t>
    <rPh sb="0" eb="2">
      <t>ウリアゲ</t>
    </rPh>
    <rPh sb="2" eb="3">
      <t>タカ</t>
    </rPh>
    <phoneticPr fontId="27"/>
  </si>
  <si>
    <t>金利</t>
    <rPh sb="0" eb="2">
      <t>キンリ</t>
    </rPh>
    <phoneticPr fontId="27"/>
  </si>
  <si>
    <t>前年の支払・回収条件が前年より大きく変更されている場合は主計課に連絡ください。</t>
    <rPh sb="11" eb="13">
      <t>ゼンネン</t>
    </rPh>
    <rPh sb="15" eb="16">
      <t>オオ</t>
    </rPh>
    <rPh sb="18" eb="20">
      <t>ヘンコウ</t>
    </rPh>
    <rPh sb="25" eb="27">
      <t>バアイ</t>
    </rPh>
    <rPh sb="28" eb="31">
      <t>シュケイカ</t>
    </rPh>
    <rPh sb="32" eb="34">
      <t>レンラク</t>
    </rPh>
    <phoneticPr fontId="27"/>
  </si>
  <si>
    <t>使用資金金利</t>
    <rPh sb="0" eb="6">
      <t>シヨウシキンキンリ</t>
    </rPh>
    <phoneticPr fontId="3"/>
  </si>
  <si>
    <t>合計</t>
    <rPh sb="0" eb="2">
      <t>ゴウケイ</t>
    </rPh>
    <phoneticPr fontId="27"/>
  </si>
  <si>
    <t>年間予算表（営業費及びその他収支）</t>
    <rPh sb="0" eb="2">
      <t>ネンカン</t>
    </rPh>
    <rPh sb="6" eb="9">
      <t>エイギョウヒ</t>
    </rPh>
    <rPh sb="9" eb="10">
      <t>オヨ</t>
    </rPh>
    <rPh sb="11" eb="14">
      <t>ソノタ</t>
    </rPh>
    <rPh sb="14" eb="15">
      <t>シュウ</t>
    </rPh>
    <rPh sb="15" eb="16">
      <t>シ</t>
    </rPh>
    <phoneticPr fontId="6"/>
  </si>
  <si>
    <t>上期予算</t>
    <rPh sb="0" eb="2">
      <t>カミキ</t>
    </rPh>
    <rPh sb="2" eb="4">
      <t>ヨサン</t>
    </rPh>
    <phoneticPr fontId="4"/>
  </si>
  <si>
    <t>下期予算</t>
    <rPh sb="0" eb="1">
      <t>シモ</t>
    </rPh>
    <rPh sb="1" eb="2">
      <t>カミキ</t>
    </rPh>
    <rPh sb="2" eb="4">
      <t>ヨサン</t>
    </rPh>
    <phoneticPr fontId="4"/>
  </si>
  <si>
    <t>年間予算</t>
    <rPh sb="0" eb="2">
      <t>ネンカン</t>
    </rPh>
    <rPh sb="2" eb="4">
      <t>ヨサン</t>
    </rPh>
    <phoneticPr fontId="4"/>
  </si>
  <si>
    <t xml:space="preserve"> 内 容 明 細</t>
    <phoneticPr fontId="3"/>
  </si>
  <si>
    <t>下期予算(一次見直し）</t>
    <phoneticPr fontId="3"/>
  </si>
  <si>
    <t>（単位；千円）</t>
    <rPh sb="1" eb="3">
      <t>タンイ</t>
    </rPh>
    <rPh sb="4" eb="6">
      <t>センエン</t>
    </rPh>
    <phoneticPr fontId="3"/>
  </si>
  <si>
    <t>半期計</t>
    <rPh sb="0" eb="2">
      <t>ハンキ</t>
    </rPh>
    <rPh sb="2" eb="3">
      <t>ケイ</t>
    </rPh>
    <phoneticPr fontId="3"/>
  </si>
  <si>
    <t>＜算定根拠＞</t>
    <rPh sb="1" eb="3">
      <t>サンテイ</t>
    </rPh>
    <rPh sb="3" eb="5">
      <t>コンキョ</t>
    </rPh>
    <phoneticPr fontId="3"/>
  </si>
  <si>
    <t>前年</t>
    <rPh sb="0" eb="2">
      <t>ゼンネン</t>
    </rPh>
    <phoneticPr fontId="31"/>
  </si>
  <si>
    <t>予算</t>
    <rPh sb="0" eb="2">
      <t>ヨサン</t>
    </rPh>
    <phoneticPr fontId="31"/>
  </si>
  <si>
    <t>＜雑収入＞</t>
    <rPh sb="1" eb="4">
      <t>ザッシュウニュウ</t>
    </rPh>
    <phoneticPr fontId="3"/>
  </si>
  <si>
    <t>為替差損益</t>
    <rPh sb="0" eb="2">
      <t>カワセ</t>
    </rPh>
    <rPh sb="2" eb="3">
      <t>サ</t>
    </rPh>
    <rPh sb="3" eb="5">
      <t>ソンエキ</t>
    </rPh>
    <phoneticPr fontId="3"/>
  </si>
  <si>
    <t>端数処理</t>
    <rPh sb="0" eb="2">
      <t>ハスウ</t>
    </rPh>
    <rPh sb="2" eb="4">
      <t>ショリ</t>
    </rPh>
    <phoneticPr fontId="3"/>
  </si>
  <si>
    <t>リベート</t>
    <phoneticPr fontId="3"/>
  </si>
  <si>
    <t>受取手数料</t>
    <rPh sb="0" eb="2">
      <t>ウケトリ</t>
    </rPh>
    <rPh sb="2" eb="5">
      <t>テスウリョウ</t>
    </rPh>
    <phoneticPr fontId="3"/>
  </si>
  <si>
    <t>資産等賃貸収入</t>
    <rPh sb="0" eb="2">
      <t>シサン</t>
    </rPh>
    <rPh sb="2" eb="3">
      <t>トウ</t>
    </rPh>
    <rPh sb="3" eb="5">
      <t>チンタイ</t>
    </rPh>
    <rPh sb="5" eb="7">
      <t>シュウニュウ</t>
    </rPh>
    <phoneticPr fontId="3"/>
  </si>
  <si>
    <t>立替経費受入</t>
    <rPh sb="0" eb="2">
      <t>タテカエ</t>
    </rPh>
    <rPh sb="2" eb="4">
      <t>ケイヒ</t>
    </rPh>
    <rPh sb="4" eb="6">
      <t>ウケイレ</t>
    </rPh>
    <phoneticPr fontId="3"/>
  </si>
  <si>
    <t>出向戻り</t>
    <rPh sb="0" eb="2">
      <t>シュッコウ</t>
    </rPh>
    <rPh sb="2" eb="3">
      <t>モド</t>
    </rPh>
    <phoneticPr fontId="3"/>
  </si>
  <si>
    <t>保険差益</t>
    <rPh sb="0" eb="2">
      <t>ホケン</t>
    </rPh>
    <rPh sb="2" eb="4">
      <t>サエキ</t>
    </rPh>
    <phoneticPr fontId="3"/>
  </si>
  <si>
    <t>受取保険金</t>
    <rPh sb="0" eb="2">
      <t>ウケトリ</t>
    </rPh>
    <rPh sb="2" eb="5">
      <t>ホケンキン</t>
    </rPh>
    <phoneticPr fontId="3"/>
  </si>
  <si>
    <t>長期保険満期返戻金</t>
    <rPh sb="0" eb="2">
      <t>チョウキ</t>
    </rPh>
    <rPh sb="2" eb="4">
      <t>ホケン</t>
    </rPh>
    <rPh sb="4" eb="6">
      <t>マンキ</t>
    </rPh>
    <rPh sb="6" eb="9">
      <t>ヘンレイキン</t>
    </rPh>
    <phoneticPr fontId="3"/>
  </si>
  <si>
    <t>保険配当金</t>
    <rPh sb="0" eb="2">
      <t>ホケン</t>
    </rPh>
    <rPh sb="2" eb="5">
      <t>ハイトウキン</t>
    </rPh>
    <phoneticPr fontId="3"/>
  </si>
  <si>
    <t>寮・社宅家賃収入</t>
    <rPh sb="0" eb="1">
      <t>リョウ</t>
    </rPh>
    <rPh sb="2" eb="4">
      <t>シャタク</t>
    </rPh>
    <rPh sb="4" eb="6">
      <t>ヤチン</t>
    </rPh>
    <rPh sb="6" eb="8">
      <t>シュウニュウ</t>
    </rPh>
    <phoneticPr fontId="3"/>
  </si>
  <si>
    <t>付替</t>
    <rPh sb="0" eb="2">
      <t>ツケカエ</t>
    </rPh>
    <phoneticPr fontId="3"/>
  </si>
  <si>
    <t>支払時振込手数料差引</t>
    <rPh sb="0" eb="2">
      <t>シハライ</t>
    </rPh>
    <rPh sb="2" eb="3">
      <t>ジ</t>
    </rPh>
    <rPh sb="3" eb="5">
      <t>フリコミ</t>
    </rPh>
    <rPh sb="5" eb="8">
      <t>テスウリョウ</t>
    </rPh>
    <rPh sb="8" eb="10">
      <t>サシヒキ</t>
    </rPh>
    <phoneticPr fontId="3"/>
  </si>
  <si>
    <t>買掛金支払郵送料</t>
    <rPh sb="0" eb="3">
      <t>カイカケキン</t>
    </rPh>
    <rPh sb="3" eb="5">
      <t>シハライ</t>
    </rPh>
    <rPh sb="5" eb="8">
      <t>ユウソウリョウ</t>
    </rPh>
    <phoneticPr fontId="3"/>
  </si>
  <si>
    <t>買掛金支払振込手数料</t>
    <rPh sb="0" eb="3">
      <t>カイカケキン</t>
    </rPh>
    <rPh sb="3" eb="5">
      <t>シハライ</t>
    </rPh>
    <rPh sb="5" eb="7">
      <t>フリコミ</t>
    </rPh>
    <rPh sb="7" eb="10">
      <t>テスウリョウ</t>
    </rPh>
    <phoneticPr fontId="3"/>
  </si>
  <si>
    <t>端数処理（画面）</t>
  </si>
  <si>
    <t>売掛金消費税整理</t>
    <rPh sb="0" eb="3">
      <t>ウリカケキン</t>
    </rPh>
    <rPh sb="3" eb="6">
      <t>ショウヒゼイ</t>
    </rPh>
    <rPh sb="6" eb="8">
      <t>セイリ</t>
    </rPh>
    <phoneticPr fontId="3"/>
  </si>
  <si>
    <t>買掛金消費税整理</t>
    <rPh sb="0" eb="3">
      <t>カイカケキン</t>
    </rPh>
    <rPh sb="3" eb="6">
      <t>ショウヒゼイ</t>
    </rPh>
    <rPh sb="6" eb="8">
      <t>セイリ</t>
    </rPh>
    <phoneticPr fontId="3"/>
  </si>
  <si>
    <t>内部振替</t>
    <rPh sb="0" eb="2">
      <t>ナイブ</t>
    </rPh>
    <rPh sb="2" eb="4">
      <t>フリカエ</t>
    </rPh>
    <phoneticPr fontId="3"/>
  </si>
  <si>
    <t>合計</t>
    <rPh sb="0" eb="2">
      <t>ゴウケイ</t>
    </rPh>
    <phoneticPr fontId="3"/>
  </si>
  <si>
    <t>＜雑損失＞</t>
    <rPh sb="1" eb="3">
      <t>ザッソン</t>
    </rPh>
    <rPh sb="3" eb="4">
      <t>シツ</t>
    </rPh>
    <phoneticPr fontId="3"/>
  </si>
  <si>
    <t>損金不算入附帯税</t>
    <rPh sb="0" eb="2">
      <t>ソンキン</t>
    </rPh>
    <rPh sb="2" eb="5">
      <t>フサンニュウ</t>
    </rPh>
    <rPh sb="5" eb="6">
      <t>フ</t>
    </rPh>
    <rPh sb="6" eb="7">
      <t>タイ</t>
    </rPh>
    <rPh sb="7" eb="8">
      <t>ゼイ</t>
    </rPh>
    <phoneticPr fontId="31"/>
  </si>
  <si>
    <t>ファクター支払</t>
    <rPh sb="5" eb="7">
      <t>シハライ</t>
    </rPh>
    <phoneticPr fontId="3"/>
  </si>
  <si>
    <t>保険差損</t>
    <rPh sb="0" eb="2">
      <t>ホケン</t>
    </rPh>
    <rPh sb="2" eb="4">
      <t>サソン</t>
    </rPh>
    <phoneticPr fontId="3"/>
  </si>
  <si>
    <t>固定資産除却損</t>
    <rPh sb="0" eb="4">
      <t>コテイシサン</t>
    </rPh>
    <rPh sb="4" eb="6">
      <t>ジョキャク</t>
    </rPh>
    <rPh sb="6" eb="7">
      <t>ソン</t>
    </rPh>
    <phoneticPr fontId="3"/>
  </si>
  <si>
    <t>入金時振込手数料差引</t>
    <rPh sb="0" eb="2">
      <t>ニュウキン</t>
    </rPh>
    <rPh sb="2" eb="3">
      <t>ジ</t>
    </rPh>
    <rPh sb="3" eb="5">
      <t>フリコミ</t>
    </rPh>
    <rPh sb="5" eb="8">
      <t>テスウリョウ</t>
    </rPh>
    <rPh sb="8" eb="10">
      <t>サシヒキ</t>
    </rPh>
    <phoneticPr fontId="3"/>
  </si>
  <si>
    <t>買掛金端数処理</t>
    <rPh sb="0" eb="3">
      <t>カイカケキン</t>
    </rPh>
    <rPh sb="3" eb="5">
      <t>ハスウ</t>
    </rPh>
    <rPh sb="5" eb="7">
      <t>ショリ</t>
    </rPh>
    <phoneticPr fontId="3"/>
  </si>
  <si>
    <t>区分</t>
    <rPh sb="0" eb="2">
      <t>クブン</t>
    </rPh>
    <phoneticPr fontId="33"/>
  </si>
  <si>
    <t>銘柄</t>
    <rPh sb="0" eb="2">
      <t>メイガラ</t>
    </rPh>
    <phoneticPr fontId="33"/>
  </si>
  <si>
    <t>決算月</t>
    <rPh sb="0" eb="2">
      <t>ケッサン</t>
    </rPh>
    <rPh sb="2" eb="3">
      <t>ツキ</t>
    </rPh>
    <phoneticPr fontId="33"/>
  </si>
  <si>
    <t>配当受取月</t>
    <rPh sb="0" eb="2">
      <t>ハイトウ</t>
    </rPh>
    <rPh sb="2" eb="4">
      <t>ウケトリ</t>
    </rPh>
    <rPh sb="4" eb="5">
      <t>ツキ</t>
    </rPh>
    <phoneticPr fontId="33"/>
  </si>
  <si>
    <t>配当金額</t>
    <rPh sb="0" eb="2">
      <t>ハイトウ</t>
    </rPh>
    <rPh sb="2" eb="4">
      <t>キンガク</t>
    </rPh>
    <phoneticPr fontId="33"/>
  </si>
  <si>
    <t>月別集計</t>
    <rPh sb="0" eb="2">
      <t>ツキベツ</t>
    </rPh>
    <rPh sb="2" eb="4">
      <t>シュウケイ</t>
    </rPh>
    <phoneticPr fontId="33"/>
  </si>
  <si>
    <t>月</t>
    <rPh sb="0" eb="1">
      <t>ツキ</t>
    </rPh>
    <phoneticPr fontId="33"/>
  </si>
  <si>
    <t>金額</t>
    <rPh sb="0" eb="2">
      <t>キンガク</t>
    </rPh>
    <phoneticPr fontId="33"/>
  </si>
  <si>
    <t>配当</t>
    <rPh sb="0" eb="2">
      <t>ハイトウ</t>
    </rPh>
    <phoneticPr fontId="3"/>
  </si>
  <si>
    <t>株数</t>
    <rPh sb="0" eb="2">
      <t>カブスウ</t>
    </rPh>
    <phoneticPr fontId="3"/>
  </si>
  <si>
    <t>金額</t>
    <rPh sb="0" eb="2">
      <t>キンガク</t>
    </rPh>
    <phoneticPr fontId="3"/>
  </si>
  <si>
    <t>1/2</t>
    <phoneticPr fontId="3"/>
  </si>
  <si>
    <t>固定上場</t>
    <rPh sb="0" eb="2">
      <t>コテイ</t>
    </rPh>
    <rPh sb="2" eb="4">
      <t>ジョウジョウ</t>
    </rPh>
    <phoneticPr fontId="33"/>
  </si>
  <si>
    <t>※ 記入注意事項</t>
    <rPh sb="2" eb="4">
      <t>キニュウ</t>
    </rPh>
    <rPh sb="4" eb="6">
      <t>チュウイ</t>
    </rPh>
    <rPh sb="6" eb="8">
      <t>ジコウ</t>
    </rPh>
    <phoneticPr fontId="33"/>
  </si>
  <si>
    <t>１）区分には次の区分を記入してください。</t>
    <rPh sb="2" eb="4">
      <t>クブン</t>
    </rPh>
    <rPh sb="6" eb="7">
      <t>ツギ</t>
    </rPh>
    <rPh sb="8" eb="10">
      <t>クブン</t>
    </rPh>
    <rPh sb="11" eb="13">
      <t>キニュウ</t>
    </rPh>
    <phoneticPr fontId="33"/>
  </si>
  <si>
    <t>流動上場</t>
    <rPh sb="0" eb="2">
      <t>リュウドウ</t>
    </rPh>
    <rPh sb="2" eb="4">
      <t>ジョウジョウ</t>
    </rPh>
    <phoneticPr fontId="33"/>
  </si>
  <si>
    <t>非上場</t>
    <rPh sb="0" eb="3">
      <t>ヒジョウジョウ</t>
    </rPh>
    <phoneticPr fontId="33"/>
  </si>
  <si>
    <t>出資金</t>
    <rPh sb="0" eb="3">
      <t>シュッシキン</t>
    </rPh>
    <phoneticPr fontId="33"/>
  </si>
  <si>
    <t>関係子会社</t>
    <rPh sb="0" eb="2">
      <t>カンケイ</t>
    </rPh>
    <rPh sb="2" eb="5">
      <t>コガイシャ</t>
    </rPh>
    <phoneticPr fontId="33"/>
  </si>
  <si>
    <t>不動産収支</t>
    <rPh sb="0" eb="3">
      <t>フドウサン</t>
    </rPh>
    <rPh sb="3" eb="5">
      <t>シュウシ</t>
    </rPh>
    <phoneticPr fontId="3"/>
  </si>
  <si>
    <t>収入</t>
    <rPh sb="0" eb="2">
      <t>シュウニュウ</t>
    </rPh>
    <phoneticPr fontId="3"/>
  </si>
  <si>
    <t>原価</t>
    <rPh sb="0" eb="2">
      <t>ゲンカ</t>
    </rPh>
    <phoneticPr fontId="3"/>
  </si>
  <si>
    <t>4月</t>
    <rPh sb="1" eb="2">
      <t>ガツ</t>
    </rPh>
    <phoneticPr fontId="3"/>
  </si>
  <si>
    <t>5月</t>
  </si>
  <si>
    <t>6月</t>
  </si>
  <si>
    <t>7月</t>
  </si>
  <si>
    <t>8月</t>
  </si>
  <si>
    <t>9月</t>
  </si>
  <si>
    <t>利息</t>
    <rPh sb="0" eb="2">
      <t>リソク</t>
    </rPh>
    <phoneticPr fontId="3"/>
  </si>
  <si>
    <t>受取</t>
    <rPh sb="0" eb="2">
      <t>ウケトリ</t>
    </rPh>
    <phoneticPr fontId="3"/>
  </si>
  <si>
    <t>支払</t>
    <rPh sb="0" eb="2">
      <t>シハライ</t>
    </rPh>
    <phoneticPr fontId="3"/>
  </si>
  <si>
    <t>金利社内レート</t>
    <rPh sb="0" eb="2">
      <t>キンリ</t>
    </rPh>
    <rPh sb="2" eb="4">
      <t>シャナイ</t>
    </rPh>
    <phoneticPr fontId="27"/>
  </si>
  <si>
    <t>年間</t>
    <rPh sb="0" eb="2">
      <t>ネンカン</t>
    </rPh>
    <phoneticPr fontId="3"/>
  </si>
  <si>
    <t>10月</t>
    <rPh sb="2" eb="3">
      <t>ガツ</t>
    </rPh>
    <phoneticPr fontId="3"/>
  </si>
  <si>
    <t>11月</t>
    <phoneticPr fontId="3"/>
  </si>
  <si>
    <t>12月</t>
    <phoneticPr fontId="3"/>
  </si>
  <si>
    <t>1月</t>
    <phoneticPr fontId="3"/>
  </si>
  <si>
    <t>2月</t>
    <phoneticPr fontId="3"/>
  </si>
  <si>
    <t>3月</t>
    <phoneticPr fontId="3"/>
  </si>
  <si>
    <t>雑収入雑損失予算表</t>
    <phoneticPr fontId="3"/>
  </si>
  <si>
    <t>受取配当金</t>
    <rPh sb="0" eb="5">
      <t>ウケトリハイトウキン</t>
    </rPh>
    <phoneticPr fontId="3"/>
  </si>
  <si>
    <t>営業外損益</t>
    <rPh sb="0" eb="3">
      <t>エイギョウガイ</t>
    </rPh>
    <rPh sb="3" eb="5">
      <t>ソンエキ</t>
    </rPh>
    <phoneticPr fontId="3"/>
  </si>
  <si>
    <t>予算区分</t>
    <rPh sb="0" eb="4">
      <t>ヨサンクブン</t>
    </rPh>
    <phoneticPr fontId="6"/>
  </si>
  <si>
    <t>予算区分</t>
    <rPh sb="0" eb="4">
      <t>ヨサンクブン</t>
    </rPh>
    <phoneticPr fontId="3"/>
  </si>
  <si>
    <t>本予算</t>
    <rPh sb="0" eb="1">
      <t>ホン</t>
    </rPh>
    <rPh sb="1" eb="3">
      <t>ヨサン</t>
    </rPh>
    <phoneticPr fontId="3"/>
  </si>
  <si>
    <t>＜人件費補正＞</t>
    <rPh sb="4" eb="6">
      <t>ホセイ</t>
    </rPh>
    <phoneticPr fontId="3"/>
  </si>
  <si>
    <t>項目名</t>
    <rPh sb="0" eb="3">
      <t>コウモクメイ</t>
    </rPh>
    <phoneticPr fontId="3"/>
  </si>
  <si>
    <t>値1</t>
    <rPh sb="0" eb="1">
      <t>アタイ</t>
    </rPh>
    <phoneticPr fontId="3"/>
  </si>
  <si>
    <t>値2</t>
    <rPh sb="0" eb="1">
      <t>アタイ</t>
    </rPh>
    <phoneticPr fontId="3"/>
  </si>
  <si>
    <t>前期金利</t>
    <rPh sb="0" eb="2">
      <t>ゼンキ</t>
    </rPh>
    <rPh sb="2" eb="4">
      <t>キンリ</t>
    </rPh>
    <phoneticPr fontId="3"/>
  </si>
  <si>
    <t>当期金利</t>
    <rPh sb="0" eb="2">
      <t>トウキ</t>
    </rPh>
    <rPh sb="2" eb="4">
      <t>キンリ</t>
    </rPh>
    <phoneticPr fontId="3"/>
  </si>
  <si>
    <t>予算区分名称</t>
    <rPh sb="0" eb="4">
      <t>ヨサンクブン</t>
    </rPh>
    <rPh sb="4" eb="6">
      <t>メイショウ</t>
    </rPh>
    <phoneticPr fontId="3"/>
  </si>
  <si>
    <t>開始前月</t>
    <rPh sb="0" eb="2">
      <t>カイシ</t>
    </rPh>
    <rPh sb="2" eb="3">
      <t>マエ</t>
    </rPh>
    <rPh sb="3" eb="4">
      <t>ツキ</t>
    </rPh>
    <phoneticPr fontId="9"/>
  </si>
  <si>
    <t>データ設定例</t>
    <rPh sb="3" eb="6">
      <t>セッテイレイ</t>
    </rPh>
    <phoneticPr fontId="3"/>
  </si>
  <si>
    <t>仕入値引</t>
  </si>
  <si>
    <t>仕入経費</t>
  </si>
  <si>
    <t>売上値引</t>
  </si>
  <si>
    <t>直接経費A区分</t>
    <rPh sb="0" eb="4">
      <t>チョクセツケイヒ</t>
    </rPh>
    <rPh sb="5" eb="7">
      <t>クブン</t>
    </rPh>
    <phoneticPr fontId="3"/>
  </si>
  <si>
    <t>C1_営業間接費部署</t>
    <rPh sb="3" eb="8">
      <t>エイギョウカンセツヒ</t>
    </rPh>
    <rPh sb="8" eb="10">
      <t>ブショ</t>
    </rPh>
    <phoneticPr fontId="3"/>
  </si>
  <si>
    <t>(上段)</t>
    <rPh sb="1" eb="3">
      <t>ジョウダン</t>
    </rPh>
    <phoneticPr fontId="3"/>
  </si>
  <si>
    <t>(下段)</t>
    <rPh sb="1" eb="3">
      <t>ゲダン</t>
    </rPh>
    <phoneticPr fontId="3"/>
  </si>
  <si>
    <t>A10000</t>
    <phoneticPr fontId="3"/>
  </si>
  <si>
    <t>売上総利益</t>
    <rPh sb="0" eb="5">
      <t>ウリアゲソウリエキ</t>
    </rPh>
    <phoneticPr fontId="3"/>
  </si>
  <si>
    <t>純利益</t>
  </si>
  <si>
    <t>G外合計</t>
    <rPh sb="1" eb="2">
      <t>ガイ</t>
    </rPh>
    <rPh sb="2" eb="4">
      <t>ゴウケイ</t>
    </rPh>
    <phoneticPr fontId="3"/>
  </si>
  <si>
    <t>ロールID</t>
    <phoneticPr fontId="3"/>
  </si>
  <si>
    <t>商品利益率</t>
    <rPh sb="0" eb="5">
      <t>ショウヒンリエキリツ</t>
    </rPh>
    <phoneticPr fontId="3"/>
  </si>
  <si>
    <t>予算A表-1</t>
    <phoneticPr fontId="3"/>
  </si>
  <si>
    <t>使用資金金利計算上、売上高が必要となります。</t>
    <phoneticPr fontId="3"/>
  </si>
  <si>
    <t>前年の支払・回収条件が前年より大きく変更されている場合は主計課に連絡ください。</t>
    <phoneticPr fontId="3"/>
  </si>
  <si>
    <t>※ 対策費は負の数で入力してください。</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</si>
</sst>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0.0%"/>
    <numFmt numFmtId="177" formatCode="#,##0_ ;[Red]\-#,##0\ "/>
    <numFmt numFmtId="178" formatCode="&quot;第 &quot;###&quot; 期&quot;"/>
    <numFmt numFmtId="179" formatCode="#,###"/>
    <numFmt numFmtId="180" formatCode="\ @"/>
    <numFmt numFmtId="181" formatCode="#,##0_);[Red]\(#,##0\)"/>
    <numFmt numFmtId="182" formatCode="[$-411]ge\.m\.d;@"/>
    <numFmt numFmtId="183" formatCode="#&quot;月&quot;"/>
    <numFmt numFmtId="184" formatCode="#,###,\ ;[Red]\-#,###,\ "/>
    <numFmt numFmtId="185" formatCode="0.0000_ "/>
    <numFmt numFmtId="186" formatCode="&quot;第 &quot;###&quot; 期上期&quot;"/>
    <numFmt numFmtId="187" formatCode="0.0000%"/>
  </numFmts>
  <fonts count="52">
    <font>
      <sz val="11"/>
      <name val="ＭＳ Ｐゴシック"/>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9"/>
      <name val="ＭＳ Ｐゴシック"/>
      <family val="3"/>
      <charset val="128"/>
    </font>
    <font>
      <sz val="10"/>
      <name val="ＭＳ ゴシック"/>
      <family val="3"/>
      <charset val="128"/>
    </font>
    <font>
      <sz val="11"/>
      <name val="Arial"/>
      <family val="2"/>
    </font>
    <font>
      <sz val="10"/>
      <name val="ｺﾞｼｯｸ"/>
      <family val="3"/>
      <charset val="128"/>
    </font>
    <font>
      <sz val="9"/>
      <name val="ｺﾞｼｯｸ"/>
      <family val="3"/>
      <charset val="128"/>
    </font>
    <font>
      <sz val="11"/>
      <name val="明朝"/>
      <family val="1"/>
      <charset val="128"/>
    </font>
    <font>
      <sz val="10"/>
      <name val="ＭＳ Ｐゴシック"/>
      <family val="3"/>
      <charset val="128"/>
    </font>
    <font>
      <sz val="10"/>
      <name val="明朝"/>
      <family val="1"/>
      <charset val="128"/>
    </font>
    <font>
      <i/>
      <u/>
      <sz val="12"/>
      <name val="ＭＳ Ｐゴシック"/>
      <family val="3"/>
      <charset val="128"/>
    </font>
    <font>
      <sz val="11"/>
      <name val="ＭＳ Ｐゴシック"/>
      <family val="3"/>
      <charset val="128"/>
    </font>
    <font>
      <b/>
      <sz val="10"/>
      <name val="ＭＳ Ｐゴシック"/>
      <family val="3"/>
      <charset val="128"/>
    </font>
    <font>
      <i/>
      <sz val="12"/>
      <name val="ＭＳ Ｐゴシック"/>
      <family val="3"/>
      <charset val="128"/>
    </font>
    <font>
      <sz val="10"/>
      <name val="ＭＳ 明朝"/>
      <family val="1"/>
      <charset val="128"/>
    </font>
    <font>
      <sz val="11"/>
      <name val="ＭＳ 明朝"/>
      <family val="1"/>
      <charset val="128"/>
    </font>
    <font>
      <i/>
      <u/>
      <sz val="11"/>
      <name val="ＭＳ Ｐゴシック"/>
      <family val="3"/>
      <charset val="128"/>
    </font>
    <font>
      <i/>
      <sz val="11"/>
      <name val="ＭＳ ゴシック"/>
      <family val="3"/>
      <charset val="128"/>
    </font>
    <font>
      <sz val="10"/>
      <color indexed="10"/>
      <name val="ＭＳ 明朝"/>
      <family val="1"/>
      <charset val="128"/>
    </font>
    <font>
      <sz val="10"/>
      <color indexed="9"/>
      <name val="ＭＳ 明朝"/>
      <family val="1"/>
      <charset val="128"/>
    </font>
    <font>
      <i/>
      <u/>
      <sz val="10"/>
      <name val="ＭＳ Ｐゴシック"/>
      <family val="3"/>
      <charset val="128"/>
    </font>
    <font>
      <u/>
      <sz val="10"/>
      <name val="ＭＳ Ｐゴシック"/>
      <family val="3"/>
      <charset val="128"/>
    </font>
    <font>
      <i/>
      <sz val="11"/>
      <name val="ＭＳ Ｐゴシック"/>
      <family val="3"/>
      <charset val="128"/>
    </font>
    <font>
      <i/>
      <sz val="12"/>
      <name val="ＭＳ Ｐ明朝"/>
      <family val="1"/>
      <charset val="128"/>
    </font>
    <font>
      <sz val="11"/>
      <color theme="1"/>
      <name val="ＭＳ Ｐゴシック"/>
      <family val="2"/>
      <scheme val="minor"/>
    </font>
    <font>
      <sz val="6"/>
      <name val="ＭＳ Ｐゴシック"/>
      <family val="3"/>
      <charset val="128"/>
      <scheme val="minor"/>
    </font>
    <font>
      <sz val="14"/>
      <name val="ＭＳ Ｐゴシック"/>
      <family val="3"/>
      <charset val="128"/>
    </font>
    <font>
      <sz val="11"/>
      <color theme="1"/>
      <name val="ＭＳ Ｐゴシック"/>
      <family val="3"/>
      <charset val="128"/>
      <scheme val="minor"/>
    </font>
    <font>
      <i/>
      <u/>
      <sz val="12"/>
      <name val="ＭＳ 明朝"/>
      <family val="1"/>
      <charset val="128"/>
    </font>
    <font>
      <sz val="11"/>
      <name val="ｺﾞｼｯｸ"/>
      <family val="3"/>
      <charset val="128"/>
    </font>
    <font>
      <sz val="9"/>
      <color indexed="81"/>
      <name val="ＭＳ Ｐゴシック"/>
      <family val="3"/>
      <charset val="128"/>
    </font>
    <font>
      <sz val="6"/>
      <name val="ＭＳ Ｐ明朝"/>
      <family val="1"/>
      <charset val="128"/>
    </font>
    <font>
      <i/>
      <u/>
      <sz val="11"/>
      <name val="ＭＳ Ｐゴシック"/>
      <family val="3"/>
      <charset val="128"/>
      <scheme val="major"/>
    </font>
    <font>
      <i/>
      <sz val="11"/>
      <name val="ＭＳ Ｐゴシック"/>
      <family val="3"/>
      <charset val="128"/>
      <scheme val="major"/>
    </font>
    <font>
      <sz val="10"/>
      <name val="ＭＳ Ｐゴシック"/>
      <family val="3"/>
      <charset val="128"/>
      <scheme val="major"/>
    </font>
    <font>
      <sz val="10"/>
      <color theme="1"/>
      <name val="ＭＳ Ｐゴシック"/>
      <family val="3"/>
      <charset val="128"/>
      <scheme val="major"/>
    </font>
    <font>
      <sz val="10"/>
      <color indexed="9"/>
      <name val="ＭＳ Ｐゴシック"/>
      <family val="3"/>
      <charset val="128"/>
      <scheme val="major"/>
    </font>
    <font>
      <sz val="11"/>
      <name val="ＭＳ Ｐゴシック"/>
      <family val="3"/>
      <charset val="128"/>
      <scheme val="minor"/>
    </font>
    <font>
      <b/>
      <sz val="16"/>
      <name val="ＭＳ Ｐゴシック"/>
      <family val="3"/>
      <charset val="128"/>
    </font>
    <font>
      <sz val="16"/>
      <name val="ＭＳ Ｐゴシック"/>
      <family val="3"/>
      <charset val="128"/>
    </font>
    <font>
      <sz val="12"/>
      <name val="ＭＳ Ｐゴシック"/>
      <family val="3"/>
      <charset val="128"/>
    </font>
    <font>
      <b/>
      <sz val="12"/>
      <name val="ＭＳ Ｐゴシック"/>
      <family val="3"/>
      <charset val="128"/>
    </font>
    <font>
      <sz val="11"/>
      <color indexed="9"/>
      <name val="ＭＳ Ｐゴシック"/>
      <family val="3"/>
      <charset val="128"/>
      <scheme val="major"/>
    </font>
    <font>
      <sz val="9"/>
      <name val="ＭＳ ゴシック"/>
      <family val="3"/>
      <charset val="128"/>
    </font>
    <font>
      <sz val="8"/>
      <name val="ＭＳ Ｐゴシック"/>
      <family val="3"/>
      <charset val="128"/>
    </font>
    <font>
      <sz val="9"/>
      <name val="ＭＳ 明朝"/>
      <family val="1"/>
      <charset val="128"/>
    </font>
    <font>
      <b/>
      <sz val="11"/>
      <color rgb="FF000000"/>
      <name val="ＭＳ Ｐゴシック"/>
      <family val="3"/>
      <charset val="128"/>
    </font>
    <font>
      <sz val="9.5"/>
      <name val="ＭＳ ゴシック"/>
      <family val="3"/>
      <charset val="128"/>
    </font>
    <font>
      <sz val="8"/>
      <name val="ＭＳ 明朝"/>
      <family val="1"/>
      <charset val="128"/>
    </font>
    <font>
      <sz val="7"/>
      <name val="ＭＳ ゴシック"/>
      <family val="3"/>
      <charset val="128"/>
    </font>
  </fonts>
  <fills count="19">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23"/>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8"/>
        <bgColor indexed="64"/>
      </patternFill>
    </fill>
    <fill>
      <patternFill patternType="solid">
        <fgColor rgb="FFFFFF9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rgb="FFFFFFCC"/>
        <bgColor indexed="64"/>
      </patternFill>
    </fill>
    <fill>
      <patternFill patternType="solid">
        <fgColor rgb="FFCCFFFF"/>
        <bgColor indexed="64"/>
      </patternFill>
    </fill>
    <fill>
      <patternFill patternType="solid">
        <fgColor theme="0"/>
        <bgColor indexed="64"/>
      </patternFill>
    </fill>
    <fill>
      <patternFill patternType="solid">
        <fgColor theme="0" tint="-0.249977111117893"/>
        <bgColor indexed="64"/>
      </patternFill>
    </fill>
  </fills>
  <borders count="27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hair">
        <color indexed="64"/>
      </right>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top style="hair">
        <color indexed="64"/>
      </top>
      <bottom/>
      <diagonal/>
    </border>
    <border>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right style="thin">
        <color indexed="64"/>
      </right>
      <top/>
      <bottom/>
      <diagonal/>
    </border>
    <border>
      <left style="hair">
        <color indexed="64"/>
      </left>
      <right/>
      <top/>
      <bottom style="hair">
        <color indexed="64"/>
      </bottom>
      <diagonal/>
    </border>
    <border>
      <left style="hair">
        <color indexed="64"/>
      </left>
      <right style="thin">
        <color indexed="64"/>
      </right>
      <top/>
      <bottom style="hair">
        <color indexed="64"/>
      </bottom>
      <diagonal/>
    </border>
    <border>
      <left/>
      <right style="hair">
        <color indexed="64"/>
      </right>
      <top/>
      <bottom style="hair">
        <color indexed="64"/>
      </bottom>
      <diagonal/>
    </border>
    <border>
      <left/>
      <right style="hair">
        <color indexed="64"/>
      </right>
      <top/>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thin">
        <color indexed="64"/>
      </right>
      <top/>
      <bottom/>
      <diagonal/>
    </border>
    <border>
      <left style="thin">
        <color indexed="64"/>
      </left>
      <right/>
      <top style="hair">
        <color indexed="64"/>
      </top>
      <bottom/>
      <diagonal/>
    </border>
    <border>
      <left/>
      <right/>
      <top style="thin">
        <color indexed="64"/>
      </top>
      <bottom/>
      <diagonal/>
    </border>
    <border>
      <left/>
      <right style="thin">
        <color indexed="64"/>
      </right>
      <top style="thin">
        <color indexed="64"/>
      </top>
      <bottom/>
      <diagonal/>
    </border>
    <border>
      <left style="hair">
        <color indexed="64"/>
      </left>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right style="hair">
        <color indexed="64"/>
      </right>
      <top style="thin">
        <color indexed="64"/>
      </top>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hair">
        <color indexed="64"/>
      </left>
      <right style="thin">
        <color indexed="64"/>
      </right>
      <top/>
      <bottom style="thin">
        <color indexed="64"/>
      </bottom>
      <diagonal/>
    </border>
    <border>
      <left style="hair">
        <color indexed="64"/>
      </left>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bottom style="thin">
        <color indexed="64"/>
      </bottom>
      <diagonal/>
    </border>
    <border>
      <left style="thin">
        <color indexed="64"/>
      </left>
      <right style="thin">
        <color indexed="64"/>
      </right>
      <top style="hair">
        <color indexed="64"/>
      </top>
      <bottom/>
      <diagonal/>
    </border>
    <border>
      <left style="medium">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hair">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hair">
        <color indexed="64"/>
      </bottom>
      <diagonal/>
    </border>
    <border>
      <left style="medium">
        <color indexed="64"/>
      </left>
      <right/>
      <top style="medium">
        <color indexed="64"/>
      </top>
      <bottom/>
      <diagonal/>
    </border>
    <border>
      <left style="thin">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thin">
        <color indexed="64"/>
      </right>
      <top/>
      <bottom style="medium">
        <color indexed="64"/>
      </bottom>
      <diagonal/>
    </border>
    <border>
      <left style="medium">
        <color indexed="64"/>
      </left>
      <right/>
      <top/>
      <bottom style="medium">
        <color indexed="64"/>
      </bottom>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top style="hair">
        <color indexed="64"/>
      </top>
      <bottom style="thin">
        <color indexed="64"/>
      </bottom>
      <diagonal/>
    </border>
    <border>
      <left style="medium">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medium">
        <color indexed="64"/>
      </left>
      <right style="thin">
        <color indexed="64"/>
      </right>
      <top style="hair">
        <color indexed="64"/>
      </top>
      <bottom style="thin">
        <color indexed="64"/>
      </bottom>
      <diagonal/>
    </border>
    <border>
      <left/>
      <right style="medium">
        <color indexed="64"/>
      </right>
      <top style="medium">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right/>
      <top style="medium">
        <color indexed="64"/>
      </top>
      <bottom style="thin">
        <color indexed="64"/>
      </bottom>
      <diagonal/>
    </border>
    <border>
      <left style="medium">
        <color indexed="64"/>
      </left>
      <right/>
      <top style="hair">
        <color indexed="64"/>
      </top>
      <bottom/>
      <diagonal/>
    </border>
    <border>
      <left/>
      <right style="medium">
        <color indexed="64"/>
      </right>
      <top style="hair">
        <color indexed="64"/>
      </top>
      <bottom/>
      <diagonal/>
    </border>
    <border>
      <left style="thin">
        <color indexed="64"/>
      </left>
      <right style="medium">
        <color indexed="64"/>
      </right>
      <top style="hair">
        <color indexed="64"/>
      </top>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hair">
        <color indexed="64"/>
      </left>
      <right style="hair">
        <color indexed="64"/>
      </right>
      <top style="hair">
        <color indexed="64"/>
      </top>
      <bottom style="medium">
        <color indexed="64"/>
      </bottom>
      <diagonal/>
    </border>
    <border diagonalUp="1">
      <left/>
      <right style="hair">
        <color indexed="64"/>
      </right>
      <top style="thin">
        <color indexed="64"/>
      </top>
      <bottom style="hair">
        <color indexed="64"/>
      </bottom>
      <diagonal style="hair">
        <color indexed="64"/>
      </diagonal>
    </border>
    <border diagonalUp="1">
      <left/>
      <right style="hair">
        <color indexed="64"/>
      </right>
      <top/>
      <bottom style="hair">
        <color indexed="64"/>
      </bottom>
      <diagonal style="hair">
        <color indexed="64"/>
      </diagonal>
    </border>
    <border diagonalUp="1">
      <left/>
      <right style="hair">
        <color indexed="64"/>
      </right>
      <top style="hair">
        <color indexed="64"/>
      </top>
      <bottom style="hair">
        <color indexed="64"/>
      </bottom>
      <diagonal style="hair">
        <color indexed="64"/>
      </diagonal>
    </border>
    <border diagonalUp="1">
      <left/>
      <right style="hair">
        <color indexed="64"/>
      </right>
      <top style="hair">
        <color indexed="64"/>
      </top>
      <bottom style="thin">
        <color indexed="64"/>
      </bottom>
      <diagonal style="hair">
        <color indexed="64"/>
      </diagonal>
    </border>
    <border>
      <left style="hair">
        <color indexed="64"/>
      </left>
      <right style="hair">
        <color indexed="64"/>
      </right>
      <top style="thin">
        <color indexed="64"/>
      </top>
      <bottom style="thin">
        <color indexed="64"/>
      </bottom>
      <diagonal/>
    </border>
    <border>
      <left style="medium">
        <color indexed="64"/>
      </left>
      <right/>
      <top style="hair">
        <color indexed="64"/>
      </top>
      <bottom style="hair">
        <color indexed="64"/>
      </bottom>
      <diagonal/>
    </border>
    <border>
      <left style="medium">
        <color indexed="64"/>
      </left>
      <right style="hair">
        <color indexed="64"/>
      </right>
      <top style="thin">
        <color indexed="64"/>
      </top>
      <bottom style="hair">
        <color indexed="64"/>
      </bottom>
      <diagonal/>
    </border>
    <border>
      <left style="medium">
        <color indexed="64"/>
      </left>
      <right style="hair">
        <color indexed="64"/>
      </right>
      <top style="hair">
        <color indexed="64"/>
      </top>
      <bottom style="medium">
        <color indexed="64"/>
      </bottom>
      <diagonal/>
    </border>
    <border>
      <left/>
      <right style="hair">
        <color indexed="64"/>
      </right>
      <top/>
      <bottom style="medium">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hair">
        <color indexed="64"/>
      </right>
      <top style="hair">
        <color indexed="64"/>
      </top>
      <bottom/>
      <diagonal/>
    </border>
    <border>
      <left style="hair">
        <color indexed="64"/>
      </left>
      <right style="hair">
        <color indexed="64"/>
      </right>
      <top style="medium">
        <color indexed="64"/>
      </top>
      <bottom style="thin">
        <color indexed="64"/>
      </bottom>
      <diagonal/>
    </border>
    <border>
      <left style="hair">
        <color indexed="64"/>
      </left>
      <right/>
      <top style="medium">
        <color indexed="64"/>
      </top>
      <bottom style="thin">
        <color indexed="64"/>
      </bottom>
      <diagonal/>
    </border>
    <border>
      <left style="hair">
        <color indexed="64"/>
      </left>
      <right style="hair">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double">
        <color indexed="64"/>
      </bottom>
      <diagonal/>
    </border>
    <border>
      <left/>
      <right style="medium">
        <color indexed="64"/>
      </right>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hair">
        <color indexed="64"/>
      </bottom>
      <diagonal/>
    </border>
    <border>
      <left style="thin">
        <color indexed="64"/>
      </left>
      <right/>
      <top style="thin">
        <color indexed="64"/>
      </top>
      <bottom style="medium">
        <color indexed="64"/>
      </bottom>
      <diagonal/>
    </border>
    <border>
      <left style="hair">
        <color indexed="64"/>
      </left>
      <right style="hair">
        <color indexed="64"/>
      </right>
      <top/>
      <bottom/>
      <diagonal/>
    </border>
    <border>
      <left style="hair">
        <color indexed="64"/>
      </left>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hair">
        <color indexed="64"/>
      </left>
      <right/>
      <top/>
      <bottom style="medium">
        <color indexed="64"/>
      </bottom>
      <diagonal/>
    </border>
    <border>
      <left style="hair">
        <color indexed="64"/>
      </left>
      <right style="medium">
        <color indexed="64"/>
      </right>
      <top/>
      <bottom style="thin">
        <color indexed="64"/>
      </bottom>
      <diagonal/>
    </border>
    <border>
      <left style="thin">
        <color indexed="64"/>
      </left>
      <right style="hair">
        <color indexed="64"/>
      </right>
      <top/>
      <bottom/>
      <diagonal/>
    </border>
    <border>
      <left style="medium">
        <color indexed="64"/>
      </left>
      <right style="thin">
        <color indexed="64"/>
      </right>
      <top style="hair">
        <color indexed="64"/>
      </top>
      <bottom/>
      <diagonal/>
    </border>
    <border>
      <left/>
      <right style="medium">
        <color indexed="64"/>
      </right>
      <top style="thin">
        <color indexed="64"/>
      </top>
      <bottom style="double">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style="hair">
        <color indexed="64"/>
      </bottom>
      <diagonal/>
    </border>
    <border>
      <left style="medium">
        <color indexed="64"/>
      </left>
      <right style="medium">
        <color indexed="64"/>
      </right>
      <top/>
      <bottom/>
      <diagonal/>
    </border>
    <border>
      <left/>
      <right/>
      <top/>
      <bottom style="thin">
        <color indexed="12"/>
      </bottom>
      <diagonal/>
    </border>
    <border>
      <left style="thin">
        <color indexed="12"/>
      </left>
      <right/>
      <top style="thin">
        <color indexed="12"/>
      </top>
      <bottom/>
      <diagonal/>
    </border>
    <border>
      <left/>
      <right/>
      <top style="thin">
        <color indexed="12"/>
      </top>
      <bottom/>
      <diagonal/>
    </border>
    <border>
      <left/>
      <right style="thin">
        <color indexed="12"/>
      </right>
      <top style="thin">
        <color indexed="12"/>
      </top>
      <bottom/>
      <diagonal/>
    </border>
    <border>
      <left style="thin">
        <color indexed="12"/>
      </left>
      <right style="hair">
        <color indexed="12"/>
      </right>
      <top style="thin">
        <color indexed="12"/>
      </top>
      <bottom style="hair">
        <color indexed="12"/>
      </bottom>
      <diagonal/>
    </border>
    <border>
      <left style="hair">
        <color indexed="12"/>
      </left>
      <right style="thin">
        <color indexed="12"/>
      </right>
      <top style="thin">
        <color indexed="12"/>
      </top>
      <bottom style="hair">
        <color indexed="12"/>
      </bottom>
      <diagonal/>
    </border>
    <border>
      <left style="thin">
        <color indexed="12"/>
      </left>
      <right/>
      <top style="thin">
        <color indexed="12"/>
      </top>
      <bottom style="hair">
        <color indexed="12"/>
      </bottom>
      <diagonal/>
    </border>
    <border>
      <left/>
      <right style="thin">
        <color indexed="12"/>
      </right>
      <top style="thin">
        <color indexed="12"/>
      </top>
      <bottom style="hair">
        <color indexed="12"/>
      </bottom>
      <diagonal/>
    </border>
    <border>
      <left style="thin">
        <color indexed="12"/>
      </left>
      <right/>
      <top/>
      <bottom style="thin">
        <color indexed="12"/>
      </bottom>
      <diagonal/>
    </border>
    <border>
      <left/>
      <right style="thin">
        <color indexed="12"/>
      </right>
      <top/>
      <bottom style="thin">
        <color indexed="12"/>
      </bottom>
      <diagonal/>
    </border>
    <border>
      <left style="thin">
        <color indexed="12"/>
      </left>
      <right style="hair">
        <color indexed="12"/>
      </right>
      <top/>
      <bottom style="thin">
        <color indexed="12"/>
      </bottom>
      <diagonal/>
    </border>
    <border>
      <left style="hair">
        <color indexed="12"/>
      </left>
      <right style="thin">
        <color indexed="12"/>
      </right>
      <top/>
      <bottom style="thin">
        <color indexed="12"/>
      </bottom>
      <diagonal/>
    </border>
    <border>
      <left style="thin">
        <color indexed="12"/>
      </left>
      <right/>
      <top/>
      <bottom/>
      <diagonal/>
    </border>
    <border>
      <left/>
      <right style="thin">
        <color indexed="12"/>
      </right>
      <top/>
      <bottom/>
      <diagonal/>
    </border>
    <border>
      <left style="thin">
        <color indexed="12"/>
      </left>
      <right style="hair">
        <color indexed="12"/>
      </right>
      <top/>
      <bottom/>
      <diagonal/>
    </border>
    <border>
      <left style="hair">
        <color indexed="12"/>
      </left>
      <right style="thin">
        <color indexed="12"/>
      </right>
      <top/>
      <bottom/>
      <diagonal/>
    </border>
    <border>
      <left style="thin">
        <color indexed="12"/>
      </left>
      <right/>
      <top/>
      <bottom style="hair">
        <color indexed="12"/>
      </bottom>
      <diagonal/>
    </border>
    <border>
      <left/>
      <right/>
      <top/>
      <bottom style="hair">
        <color indexed="12"/>
      </bottom>
      <diagonal/>
    </border>
    <border>
      <left/>
      <right style="thin">
        <color indexed="12"/>
      </right>
      <top/>
      <bottom style="hair">
        <color indexed="12"/>
      </bottom>
      <diagonal/>
    </border>
    <border>
      <left style="thin">
        <color indexed="12"/>
      </left>
      <right/>
      <top style="hair">
        <color indexed="12"/>
      </top>
      <bottom style="hair">
        <color indexed="12"/>
      </bottom>
      <diagonal/>
    </border>
    <border>
      <left/>
      <right/>
      <top style="hair">
        <color indexed="12"/>
      </top>
      <bottom style="hair">
        <color indexed="12"/>
      </bottom>
      <diagonal/>
    </border>
    <border>
      <left/>
      <right style="thin">
        <color indexed="12"/>
      </right>
      <top style="hair">
        <color indexed="12"/>
      </top>
      <bottom style="hair">
        <color indexed="12"/>
      </bottom>
      <diagonal/>
    </border>
    <border>
      <left style="thin">
        <color indexed="12"/>
      </left>
      <right style="hair">
        <color indexed="12"/>
      </right>
      <top style="hair">
        <color indexed="12"/>
      </top>
      <bottom style="hair">
        <color indexed="12"/>
      </bottom>
      <diagonal/>
    </border>
    <border>
      <left style="hair">
        <color indexed="12"/>
      </left>
      <right style="thin">
        <color indexed="12"/>
      </right>
      <top style="hair">
        <color indexed="12"/>
      </top>
      <bottom style="hair">
        <color indexed="12"/>
      </bottom>
      <diagonal/>
    </border>
    <border>
      <left style="thin">
        <color indexed="12"/>
      </left>
      <right/>
      <top style="hair">
        <color indexed="12"/>
      </top>
      <bottom/>
      <diagonal/>
    </border>
    <border>
      <left/>
      <right/>
      <top style="hair">
        <color indexed="12"/>
      </top>
      <bottom/>
      <diagonal/>
    </border>
    <border>
      <left/>
      <right style="thin">
        <color indexed="12"/>
      </right>
      <top style="hair">
        <color indexed="12"/>
      </top>
      <bottom/>
      <diagonal/>
    </border>
    <border>
      <left style="thin">
        <color indexed="12"/>
      </left>
      <right style="hair">
        <color indexed="12"/>
      </right>
      <top style="hair">
        <color indexed="12"/>
      </top>
      <bottom/>
      <diagonal/>
    </border>
    <border>
      <left style="hair">
        <color indexed="12"/>
      </left>
      <right style="thin">
        <color indexed="12"/>
      </right>
      <top style="hair">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thin">
        <color indexed="12"/>
      </left>
      <right style="hair">
        <color indexed="12"/>
      </right>
      <top style="thin">
        <color indexed="12"/>
      </top>
      <bottom style="thin">
        <color indexed="12"/>
      </bottom>
      <diagonal/>
    </border>
    <border>
      <left style="hair">
        <color indexed="12"/>
      </left>
      <right style="thin">
        <color indexed="12"/>
      </right>
      <top style="thin">
        <color indexed="12"/>
      </top>
      <bottom style="thin">
        <color indexed="12"/>
      </bottom>
      <diagonal/>
    </border>
    <border>
      <left style="thin">
        <color indexed="12"/>
      </left>
      <right/>
      <top style="hair">
        <color indexed="12"/>
      </top>
      <bottom style="thin">
        <color indexed="12"/>
      </bottom>
      <diagonal/>
    </border>
    <border>
      <left/>
      <right/>
      <top style="hair">
        <color indexed="12"/>
      </top>
      <bottom style="thin">
        <color indexed="12"/>
      </bottom>
      <diagonal/>
    </border>
    <border>
      <left/>
      <right/>
      <top style="thin">
        <color indexed="64"/>
      </top>
      <bottom style="dotted">
        <color indexed="64"/>
      </bottom>
      <diagonal/>
    </border>
    <border>
      <left/>
      <right/>
      <top style="dotted">
        <color indexed="64"/>
      </top>
      <bottom style="dotted">
        <color indexed="64"/>
      </bottom>
      <diagonal/>
    </border>
    <border>
      <left/>
      <right/>
      <top style="dotted">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hair">
        <color indexed="64"/>
      </top>
      <bottom style="thin">
        <color indexed="64"/>
      </bottom>
      <diagonal/>
    </border>
    <border>
      <left style="thin">
        <color indexed="12"/>
      </left>
      <right style="thin">
        <color indexed="12"/>
      </right>
      <top style="thin">
        <color indexed="12"/>
      </top>
      <bottom style="thin">
        <color indexed="12"/>
      </bottom>
      <diagonal/>
    </border>
    <border>
      <left style="thin">
        <color indexed="12"/>
      </left>
      <right style="thin">
        <color indexed="12"/>
      </right>
      <top style="thin">
        <color indexed="12"/>
      </top>
      <bottom/>
      <diagonal/>
    </border>
    <border>
      <left style="thin">
        <color indexed="12"/>
      </left>
      <right style="thin">
        <color indexed="12"/>
      </right>
      <top/>
      <bottom style="thin">
        <color indexed="12"/>
      </bottom>
      <diagonal/>
    </border>
    <border>
      <left style="thin">
        <color indexed="12"/>
      </left>
      <right style="thin">
        <color indexed="12"/>
      </right>
      <top/>
      <bottom style="hair">
        <color indexed="12"/>
      </bottom>
      <diagonal/>
    </border>
    <border>
      <left style="thin">
        <color indexed="12"/>
      </left>
      <right style="thin">
        <color indexed="12"/>
      </right>
      <top style="hair">
        <color indexed="12"/>
      </top>
      <bottom style="hair">
        <color indexed="12"/>
      </bottom>
      <diagonal/>
    </border>
    <border>
      <left style="thin">
        <color indexed="12"/>
      </left>
      <right style="thin">
        <color indexed="12"/>
      </right>
      <top style="hair">
        <color indexed="12"/>
      </top>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double">
        <color indexed="64"/>
      </top>
      <bottom style="double">
        <color indexed="64"/>
      </bottom>
      <diagonal/>
    </border>
    <border>
      <left/>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right style="medium">
        <color indexed="64"/>
      </right>
      <top style="double">
        <color indexed="64"/>
      </top>
      <bottom style="double">
        <color indexed="64"/>
      </bottom>
      <diagonal/>
    </border>
    <border>
      <left style="hair">
        <color indexed="64"/>
      </left>
      <right/>
      <top style="hair">
        <color indexed="64"/>
      </top>
      <bottom style="medium">
        <color indexed="64"/>
      </bottom>
      <diagonal/>
    </border>
    <border>
      <left style="thin">
        <color auto="1"/>
      </left>
      <right style="medium">
        <color auto="1"/>
      </right>
      <top style="thin">
        <color auto="1"/>
      </top>
      <bottom style="thin">
        <color auto="1"/>
      </bottom>
      <diagonal/>
    </border>
    <border>
      <left/>
      <right style="hair">
        <color indexed="64"/>
      </right>
      <top style="medium">
        <color indexed="64"/>
      </top>
      <bottom/>
      <diagonal/>
    </border>
    <border>
      <left style="hair">
        <color indexed="64"/>
      </left>
      <right style="medium">
        <color indexed="64"/>
      </right>
      <top/>
      <bottom/>
      <diagonal/>
    </border>
    <border>
      <left style="medium">
        <color indexed="64"/>
      </left>
      <right style="hair">
        <color indexed="64"/>
      </right>
      <top style="thin">
        <color indexed="64"/>
      </top>
      <bottom style="medium">
        <color indexed="64"/>
      </bottom>
      <diagonal/>
    </border>
    <border>
      <left/>
      <right style="hair">
        <color indexed="64"/>
      </right>
      <top style="hair">
        <color indexed="64"/>
      </top>
      <bottom style="medium">
        <color indexed="64"/>
      </bottom>
      <diagonal/>
    </border>
    <border>
      <left style="hair">
        <color indexed="64"/>
      </left>
      <right style="medium">
        <color indexed="64"/>
      </right>
      <top/>
      <bottom style="medium">
        <color indexed="64"/>
      </bottom>
      <diagonal/>
    </border>
    <border>
      <left/>
      <right style="hair">
        <color indexed="64"/>
      </right>
      <top style="medium">
        <color indexed="64"/>
      </top>
      <bottom style="thin">
        <color indexed="64"/>
      </bottom>
      <diagonal/>
    </border>
    <border>
      <left style="medium">
        <color indexed="64"/>
      </left>
      <right/>
      <top/>
      <bottom style="hair">
        <color indexed="64"/>
      </bottom>
      <diagonal/>
    </border>
    <border>
      <left/>
      <right style="medium">
        <color indexed="64"/>
      </right>
      <top style="thin">
        <color indexed="64"/>
      </top>
      <bottom style="medium">
        <color indexed="64"/>
      </bottom>
      <diagonal/>
    </border>
    <border>
      <left style="hair">
        <color indexed="64"/>
      </left>
      <right/>
      <top style="hair">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s>
  <cellStyleXfs count="15">
    <xf numFmtId="0" fontId="0" fillId="0" borderId="0"/>
    <xf numFmtId="9" fontId="2" fillId="0" borderId="0" applyFont="0" applyFill="0" applyBorder="0" applyAlignment="0" applyProtection="0"/>
    <xf numFmtId="38" fontId="2" fillId="0" borderId="0" applyFont="0" applyFill="0" applyBorder="0" applyAlignment="0" applyProtection="0"/>
    <xf numFmtId="0" fontId="2" fillId="0" borderId="0"/>
    <xf numFmtId="0" fontId="9" fillId="0" borderId="0"/>
    <xf numFmtId="0" fontId="7" fillId="0" borderId="0"/>
    <xf numFmtId="9" fontId="13" fillId="0" borderId="0" applyFont="0" applyFill="0" applyBorder="0" applyAlignment="0" applyProtection="0"/>
    <xf numFmtId="0" fontId="26" fillId="0" borderId="0"/>
    <xf numFmtId="38" fontId="2" fillId="0" borderId="0" applyFont="0" applyFill="0" applyBorder="0" applyAlignment="0" applyProtection="0"/>
    <xf numFmtId="9" fontId="2" fillId="0" borderId="0" applyFont="0" applyFill="0" applyBorder="0" applyAlignment="0" applyProtection="0"/>
    <xf numFmtId="0" fontId="7" fillId="0" borderId="0"/>
    <xf numFmtId="0" fontId="2" fillId="0" borderId="0"/>
    <xf numFmtId="0" fontId="29" fillId="0" borderId="0">
      <alignment vertical="center"/>
    </xf>
    <xf numFmtId="38" fontId="29" fillId="0" borderId="0" applyFont="0" applyFill="0" applyBorder="0" applyAlignment="0" applyProtection="0">
      <alignment vertical="center"/>
    </xf>
    <xf numFmtId="0" fontId="1" fillId="0" borderId="0">
      <alignment vertical="center"/>
    </xf>
  </cellStyleXfs>
  <cellXfs count="959">
    <xf numFmtId="0" fontId="0" fillId="0" borderId="0" xfId="0"/>
    <xf numFmtId="177" fontId="9" fillId="0" borderId="0" xfId="2" applyNumberFormat="1" applyFont="1" applyAlignment="1" applyProtection="1">
      <alignment horizontal="center" vertical="top"/>
    </xf>
    <xf numFmtId="177" fontId="5" fillId="0" borderId="0" xfId="2" applyNumberFormat="1" applyFont="1" applyFill="1" applyBorder="1" applyAlignment="1" applyProtection="1">
      <alignment horizontal="right"/>
    </xf>
    <xf numFmtId="177" fontId="10" fillId="0" borderId="0" xfId="2" applyNumberFormat="1" applyFont="1" applyProtection="1"/>
    <xf numFmtId="177" fontId="12" fillId="0" borderId="0" xfId="2" applyNumberFormat="1" applyFont="1" applyAlignment="1" applyProtection="1"/>
    <xf numFmtId="177" fontId="10" fillId="0" borderId="1" xfId="2" applyNumberFormat="1" applyFont="1" applyBorder="1" applyAlignment="1" applyProtection="1">
      <alignment horizontal="center"/>
    </xf>
    <xf numFmtId="177" fontId="10" fillId="0" borderId="2" xfId="2" applyNumberFormat="1" applyFont="1" applyBorder="1" applyAlignment="1" applyProtection="1">
      <alignment horizontal="center"/>
    </xf>
    <xf numFmtId="177" fontId="10" fillId="0" borderId="0" xfId="2" applyNumberFormat="1" applyFont="1" applyAlignment="1" applyProtection="1">
      <alignment horizontal="center"/>
    </xf>
    <xf numFmtId="177" fontId="10" fillId="0" borderId="5" xfId="2" applyNumberFormat="1" applyFont="1" applyBorder="1" applyProtection="1"/>
    <xf numFmtId="177" fontId="10" fillId="0" borderId="6" xfId="2" applyNumberFormat="1" applyFont="1" applyBorder="1" applyProtection="1"/>
    <xf numFmtId="177" fontId="10" fillId="0" borderId="7" xfId="2" applyNumberFormat="1" applyFont="1" applyBorder="1" applyProtection="1"/>
    <xf numFmtId="177" fontId="10" fillId="0" borderId="5" xfId="2" applyNumberFormat="1" applyFont="1" applyBorder="1" applyAlignment="1" applyProtection="1">
      <alignment horizontal="centerContinuous"/>
    </xf>
    <xf numFmtId="177" fontId="10" fillId="0" borderId="7" xfId="2" applyNumberFormat="1" applyFont="1" applyBorder="1" applyAlignment="1" applyProtection="1">
      <alignment horizontal="centerContinuous"/>
    </xf>
    <xf numFmtId="177" fontId="10" fillId="0" borderId="8" xfId="2" applyNumberFormat="1" applyFont="1" applyBorder="1" applyAlignment="1" applyProtection="1">
      <alignment horizontal="center"/>
    </xf>
    <xf numFmtId="177" fontId="10" fillId="0" borderId="7" xfId="2" applyNumberFormat="1" applyFont="1" applyBorder="1" applyAlignment="1" applyProtection="1">
      <alignment horizontal="center"/>
    </xf>
    <xf numFmtId="0" fontId="10" fillId="0" borderId="9" xfId="2" applyNumberFormat="1" applyFont="1" applyBorder="1" applyProtection="1"/>
    <xf numFmtId="177" fontId="10" fillId="0" borderId="10" xfId="2" applyNumberFormat="1" applyFont="1" applyBorder="1" applyProtection="1"/>
    <xf numFmtId="177" fontId="10" fillId="0" borderId="10" xfId="2" applyNumberFormat="1" applyFont="1" applyBorder="1" applyAlignment="1" applyProtection="1">
      <alignment horizontal="distributed"/>
    </xf>
    <xf numFmtId="177" fontId="10" fillId="0" borderId="11" xfId="2" applyNumberFormat="1" applyFont="1" applyBorder="1" applyProtection="1"/>
    <xf numFmtId="177" fontId="10" fillId="2" borderId="11" xfId="2" applyNumberFormat="1" applyFont="1" applyFill="1" applyBorder="1" applyProtection="1">
      <protection locked="0"/>
    </xf>
    <xf numFmtId="177" fontId="10" fillId="0" borderId="12" xfId="2" applyNumberFormat="1" applyFont="1" applyBorder="1" applyProtection="1"/>
    <xf numFmtId="0" fontId="10" fillId="0" borderId="13" xfId="2" applyNumberFormat="1" applyFont="1" applyBorder="1" applyProtection="1"/>
    <xf numFmtId="177" fontId="10" fillId="0" borderId="14" xfId="2" applyNumberFormat="1" applyFont="1" applyBorder="1" applyProtection="1"/>
    <xf numFmtId="177" fontId="10" fillId="0" borderId="14" xfId="2" applyNumberFormat="1" applyFont="1" applyBorder="1" applyAlignment="1" applyProtection="1">
      <alignment horizontal="distributed"/>
    </xf>
    <xf numFmtId="177" fontId="10" fillId="0" borderId="15" xfId="2" applyNumberFormat="1" applyFont="1" applyBorder="1" applyProtection="1"/>
    <xf numFmtId="177" fontId="10" fillId="2" borderId="15" xfId="2" applyNumberFormat="1" applyFont="1" applyFill="1" applyBorder="1" applyProtection="1">
      <protection locked="0"/>
    </xf>
    <xf numFmtId="177" fontId="10" fillId="0" borderId="17" xfId="2" applyNumberFormat="1" applyFont="1" applyBorder="1" applyProtection="1"/>
    <xf numFmtId="177" fontId="10" fillId="0" borderId="18" xfId="2" applyNumberFormat="1" applyFont="1" applyBorder="1" applyProtection="1"/>
    <xf numFmtId="177" fontId="10" fillId="0" borderId="19" xfId="2" applyNumberFormat="1" applyFont="1" applyBorder="1" applyProtection="1"/>
    <xf numFmtId="177" fontId="10" fillId="3" borderId="5" xfId="2" applyNumberFormat="1" applyFont="1" applyFill="1" applyBorder="1" applyAlignment="1" applyProtection="1">
      <alignment horizontal="centerContinuous"/>
    </xf>
    <xf numFmtId="177" fontId="10" fillId="3" borderId="6" xfId="2" applyNumberFormat="1" applyFont="1" applyFill="1" applyBorder="1" applyAlignment="1" applyProtection="1">
      <alignment horizontal="centerContinuous"/>
    </xf>
    <xf numFmtId="177" fontId="10" fillId="3" borderId="7" xfId="2" applyNumberFormat="1" applyFont="1" applyFill="1" applyBorder="1" applyAlignment="1" applyProtection="1">
      <alignment horizontal="centerContinuous"/>
    </xf>
    <xf numFmtId="177" fontId="10" fillId="3" borderId="8" xfId="2" applyNumberFormat="1" applyFont="1" applyFill="1" applyBorder="1" applyProtection="1"/>
    <xf numFmtId="177" fontId="10" fillId="0" borderId="0" xfId="2" applyNumberFormat="1" applyFont="1" applyAlignment="1" applyProtection="1">
      <alignment horizontal="right"/>
    </xf>
    <xf numFmtId="177" fontId="10" fillId="0" borderId="6" xfId="2" applyNumberFormat="1" applyFont="1" applyBorder="1" applyAlignment="1" applyProtection="1">
      <alignment horizontal="centerContinuous"/>
    </xf>
    <xf numFmtId="177" fontId="10" fillId="4" borderId="8" xfId="2" applyNumberFormat="1" applyFont="1" applyFill="1" applyBorder="1" applyProtection="1"/>
    <xf numFmtId="177" fontId="10" fillId="0" borderId="20" xfId="2" applyNumberFormat="1" applyFont="1" applyBorder="1" applyProtection="1"/>
    <xf numFmtId="177" fontId="10" fillId="0" borderId="14" xfId="2" applyNumberFormat="1" applyFont="1" applyBorder="1" applyProtection="1">
      <protection locked="0"/>
    </xf>
    <xf numFmtId="177" fontId="10" fillId="0" borderId="14" xfId="2" applyNumberFormat="1" applyFont="1" applyBorder="1" applyAlignment="1" applyProtection="1">
      <alignment horizontal="distributed"/>
      <protection locked="0"/>
    </xf>
    <xf numFmtId="177" fontId="10" fillId="2" borderId="25" xfId="2" applyNumberFormat="1" applyFont="1" applyFill="1" applyBorder="1" applyProtection="1">
      <protection locked="0"/>
    </xf>
    <xf numFmtId="177" fontId="10" fillId="2" borderId="26" xfId="2" applyNumberFormat="1" applyFont="1" applyFill="1" applyBorder="1" applyProtection="1">
      <protection locked="0"/>
    </xf>
    <xf numFmtId="177" fontId="10" fillId="0" borderId="23" xfId="5" applyNumberFormat="1" applyFont="1" applyBorder="1" applyProtection="1">
      <protection locked="0"/>
    </xf>
    <xf numFmtId="177" fontId="10" fillId="0" borderId="0" xfId="5" applyNumberFormat="1" applyFont="1" applyProtection="1">
      <protection locked="0"/>
    </xf>
    <xf numFmtId="177" fontId="10" fillId="0" borderId="24" xfId="5" applyNumberFormat="1" applyFont="1" applyBorder="1" applyProtection="1">
      <protection locked="0"/>
    </xf>
    <xf numFmtId="177" fontId="10" fillId="2" borderId="29" xfId="2" applyNumberFormat="1" applyFont="1" applyFill="1" applyBorder="1" applyProtection="1">
      <protection locked="0"/>
    </xf>
    <xf numFmtId="177" fontId="10" fillId="2" borderId="30" xfId="2" applyNumberFormat="1" applyFont="1" applyFill="1" applyBorder="1" applyProtection="1">
      <protection locked="0"/>
    </xf>
    <xf numFmtId="177" fontId="10" fillId="0" borderId="13" xfId="5" applyNumberFormat="1" applyFont="1" applyBorder="1" applyProtection="1">
      <protection locked="0"/>
    </xf>
    <xf numFmtId="177" fontId="10" fillId="0" borderId="14" xfId="5" applyNumberFormat="1" applyFont="1" applyBorder="1" applyProtection="1">
      <protection locked="0"/>
    </xf>
    <xf numFmtId="177" fontId="10" fillId="0" borderId="15" xfId="5" applyNumberFormat="1" applyFont="1" applyBorder="1" applyProtection="1">
      <protection locked="0"/>
    </xf>
    <xf numFmtId="177" fontId="10" fillId="0" borderId="14" xfId="2" applyNumberFormat="1" applyFont="1" applyFill="1" applyBorder="1" applyAlignment="1" applyProtection="1">
      <protection locked="0"/>
    </xf>
    <xf numFmtId="177" fontId="5" fillId="0" borderId="0" xfId="2" applyNumberFormat="1" applyFont="1" applyAlignment="1" applyProtection="1">
      <alignment horizontal="center" vertical="top"/>
    </xf>
    <xf numFmtId="177" fontId="10" fillId="0" borderId="0" xfId="2" applyNumberFormat="1" applyFont="1" applyBorder="1" applyProtection="1"/>
    <xf numFmtId="177" fontId="5" fillId="0" borderId="0" xfId="2" applyNumberFormat="1" applyFont="1" applyFill="1" applyBorder="1" applyAlignment="1" applyProtection="1">
      <alignment horizontal="left"/>
    </xf>
    <xf numFmtId="177" fontId="5" fillId="0" borderId="0" xfId="2" applyNumberFormat="1" applyFont="1" applyFill="1" applyBorder="1" applyProtection="1"/>
    <xf numFmtId="177" fontId="5" fillId="0" borderId="0" xfId="2" applyNumberFormat="1" applyFont="1" applyBorder="1" applyAlignment="1" applyProtection="1">
      <alignment horizontal="center"/>
    </xf>
    <xf numFmtId="177" fontId="5" fillId="0" borderId="0" xfId="2" applyNumberFormat="1" applyFont="1" applyBorder="1" applyProtection="1"/>
    <xf numFmtId="177" fontId="5" fillId="0" borderId="0" xfId="2" quotePrefix="1" applyNumberFormat="1" applyFont="1" applyFill="1" applyBorder="1" applyAlignment="1" applyProtection="1">
      <alignment horizontal="left"/>
    </xf>
    <xf numFmtId="177" fontId="5" fillId="0" borderId="0" xfId="2" applyNumberFormat="1" applyFont="1" applyFill="1" applyBorder="1" applyAlignment="1" applyProtection="1"/>
    <xf numFmtId="177" fontId="5" fillId="0" borderId="0" xfId="2" quotePrefix="1" applyNumberFormat="1" applyFont="1" applyFill="1" applyBorder="1" applyAlignment="1" applyProtection="1">
      <alignment horizontal="right"/>
    </xf>
    <xf numFmtId="177" fontId="11" fillId="0" borderId="0" xfId="2" applyNumberFormat="1" applyFont="1" applyAlignment="1" applyProtection="1">
      <alignment horizontal="right" vertical="top" shrinkToFit="1"/>
    </xf>
    <xf numFmtId="177" fontId="10" fillId="3" borderId="67" xfId="2" applyNumberFormat="1" applyFont="1" applyFill="1" applyBorder="1" applyAlignment="1" applyProtection="1">
      <alignment horizontal="center" vertical="center"/>
    </xf>
    <xf numFmtId="177" fontId="10" fillId="3" borderId="68" xfId="2" applyNumberFormat="1" applyFont="1" applyFill="1" applyBorder="1" applyAlignment="1" applyProtection="1">
      <alignment horizontal="center" vertical="center"/>
    </xf>
    <xf numFmtId="177" fontId="5" fillId="0" borderId="0" xfId="2" applyNumberFormat="1" applyFont="1" applyAlignment="1" applyProtection="1">
      <alignment horizontal="right" vertical="top" shrinkToFit="1"/>
    </xf>
    <xf numFmtId="0" fontId="16" fillId="0" borderId="0" xfId="0" applyFont="1"/>
    <xf numFmtId="0" fontId="16" fillId="2" borderId="100" xfId="5" applyFont="1" applyFill="1" applyBorder="1" applyAlignment="1" applyProtection="1">
      <alignment horizontal="center"/>
      <protection locked="0"/>
    </xf>
    <xf numFmtId="0" fontId="16" fillId="2" borderId="101" xfId="5" applyFont="1" applyFill="1" applyBorder="1" applyAlignment="1" applyProtection="1">
      <alignment horizontal="center"/>
      <protection locked="0"/>
    </xf>
    <xf numFmtId="0" fontId="16" fillId="2" borderId="78" xfId="5" applyFont="1" applyFill="1" applyBorder="1" applyAlignment="1" applyProtection="1">
      <alignment horizontal="center"/>
      <protection locked="0"/>
    </xf>
    <xf numFmtId="0" fontId="16" fillId="2" borderId="102" xfId="5" applyFont="1" applyFill="1" applyBorder="1" applyAlignment="1" applyProtection="1">
      <alignment horizontal="center"/>
      <protection locked="0"/>
    </xf>
    <xf numFmtId="0" fontId="16" fillId="2" borderId="103" xfId="5" applyFont="1" applyFill="1" applyBorder="1" applyAlignment="1" applyProtection="1">
      <alignment horizontal="center"/>
      <protection locked="0"/>
    </xf>
    <xf numFmtId="0" fontId="16" fillId="2" borderId="106" xfId="5" applyFont="1" applyFill="1" applyBorder="1" applyAlignment="1" applyProtection="1">
      <alignment horizontal="center"/>
      <protection locked="0"/>
    </xf>
    <xf numFmtId="177" fontId="16" fillId="2" borderId="109" xfId="2" applyNumberFormat="1" applyFont="1" applyFill="1" applyBorder="1" applyProtection="1">
      <protection locked="0"/>
    </xf>
    <xf numFmtId="177" fontId="16" fillId="0" borderId="14" xfId="2" applyNumberFormat="1" applyFont="1" applyFill="1" applyBorder="1" applyProtection="1">
      <protection locked="0"/>
    </xf>
    <xf numFmtId="177" fontId="16" fillId="0" borderId="33" xfId="2" applyNumberFormat="1" applyFont="1" applyFill="1" applyBorder="1" applyProtection="1">
      <protection locked="0"/>
    </xf>
    <xf numFmtId="177" fontId="16" fillId="2" borderId="116" xfId="5" applyNumberFormat="1" applyFont="1" applyFill="1" applyBorder="1" applyAlignment="1" applyProtection="1">
      <alignment shrinkToFit="1"/>
      <protection locked="0"/>
    </xf>
    <xf numFmtId="177" fontId="16" fillId="2" borderId="117" xfId="5" applyNumberFormat="1" applyFont="1" applyFill="1" applyBorder="1" applyAlignment="1" applyProtection="1">
      <alignment shrinkToFit="1"/>
      <protection locked="0"/>
    </xf>
    <xf numFmtId="177" fontId="16" fillId="2" borderId="118" xfId="5" applyNumberFormat="1" applyFont="1" applyFill="1" applyBorder="1" applyAlignment="1" applyProtection="1">
      <alignment shrinkToFit="1"/>
      <protection locked="0"/>
    </xf>
    <xf numFmtId="177" fontId="16" fillId="2" borderId="119" xfId="5" applyNumberFormat="1" applyFont="1" applyFill="1" applyBorder="1" applyAlignment="1" applyProtection="1">
      <alignment shrinkToFit="1"/>
      <protection locked="0"/>
    </xf>
    <xf numFmtId="177" fontId="16" fillId="2" borderId="120" xfId="5" applyNumberFormat="1" applyFont="1" applyFill="1" applyBorder="1" applyAlignment="1" applyProtection="1">
      <alignment shrinkToFit="1"/>
      <protection locked="0"/>
    </xf>
    <xf numFmtId="177" fontId="16" fillId="2" borderId="121" xfId="5" applyNumberFormat="1" applyFont="1" applyFill="1" applyBorder="1" applyAlignment="1" applyProtection="1">
      <alignment shrinkToFit="1"/>
      <protection locked="0"/>
    </xf>
    <xf numFmtId="177" fontId="16" fillId="2" borderId="122" xfId="5" applyNumberFormat="1" applyFont="1" applyFill="1" applyBorder="1" applyAlignment="1" applyProtection="1">
      <alignment shrinkToFit="1"/>
      <protection locked="0"/>
    </xf>
    <xf numFmtId="177" fontId="16" fillId="2" borderId="85" xfId="5" applyNumberFormat="1" applyFont="1" applyFill="1" applyBorder="1" applyAlignment="1" applyProtection="1">
      <alignment shrinkToFit="1"/>
      <protection locked="0"/>
    </xf>
    <xf numFmtId="177" fontId="16" fillId="2" borderId="123" xfId="5" applyNumberFormat="1" applyFont="1" applyFill="1" applyBorder="1" applyAlignment="1" applyProtection="1">
      <alignment shrinkToFit="1"/>
      <protection locked="0"/>
    </xf>
    <xf numFmtId="177" fontId="16" fillId="2" borderId="124" xfId="5" applyNumberFormat="1" applyFont="1" applyFill="1" applyBorder="1" applyAlignment="1" applyProtection="1">
      <alignment shrinkToFit="1"/>
      <protection locked="0"/>
    </xf>
    <xf numFmtId="177" fontId="16" fillId="2" borderId="125" xfId="5" applyNumberFormat="1" applyFont="1" applyFill="1" applyBorder="1" applyAlignment="1" applyProtection="1">
      <alignment shrinkToFit="1"/>
      <protection locked="0"/>
    </xf>
    <xf numFmtId="177" fontId="16" fillId="2" borderId="126" xfId="5" applyNumberFormat="1" applyFont="1" applyFill="1" applyBorder="1" applyAlignment="1" applyProtection="1">
      <alignment shrinkToFit="1"/>
      <protection locked="0"/>
    </xf>
    <xf numFmtId="177" fontId="16" fillId="2" borderId="127" xfId="5" applyNumberFormat="1" applyFont="1" applyFill="1" applyBorder="1" applyAlignment="1" applyProtection="1">
      <alignment shrinkToFit="1"/>
      <protection locked="0"/>
    </xf>
    <xf numFmtId="177" fontId="16" fillId="2" borderId="128" xfId="5" applyNumberFormat="1" applyFont="1" applyFill="1" applyBorder="1" applyAlignment="1" applyProtection="1">
      <alignment shrinkToFit="1"/>
      <protection locked="0"/>
    </xf>
    <xf numFmtId="177" fontId="16" fillId="2" borderId="129" xfId="5" applyNumberFormat="1" applyFont="1" applyFill="1" applyBorder="1" applyAlignment="1" applyProtection="1">
      <alignment shrinkToFit="1"/>
      <protection locked="0"/>
    </xf>
    <xf numFmtId="177" fontId="16" fillId="2" borderId="93" xfId="5" applyNumberFormat="1" applyFont="1" applyFill="1" applyBorder="1" applyAlignment="1" applyProtection="1">
      <alignment shrinkToFit="1"/>
      <protection locked="0"/>
    </xf>
    <xf numFmtId="177" fontId="5" fillId="0" borderId="1" xfId="2" applyNumberFormat="1" applyFont="1" applyBorder="1" applyAlignment="1" applyProtection="1">
      <alignment horizontal="distributed" justifyLastLine="1"/>
    </xf>
    <xf numFmtId="0" fontId="10" fillId="0" borderId="0" xfId="0" applyFont="1"/>
    <xf numFmtId="178" fontId="18" fillId="0" borderId="0" xfId="2" applyNumberFormat="1" applyFont="1" applyAlignment="1" applyProtection="1">
      <alignment horizontal="center"/>
    </xf>
    <xf numFmtId="177" fontId="22" fillId="0" borderId="0" xfId="2" applyNumberFormat="1" applyFont="1" applyAlignment="1" applyProtection="1"/>
    <xf numFmtId="0" fontId="16" fillId="0" borderId="0" xfId="3" applyFont="1"/>
    <xf numFmtId="178" fontId="24" fillId="0" borderId="0" xfId="2" applyNumberFormat="1" applyFont="1" applyAlignment="1" applyProtection="1">
      <alignment horizontal="center"/>
    </xf>
    <xf numFmtId="177" fontId="10" fillId="3" borderId="0" xfId="2" applyNumberFormat="1" applyFont="1" applyFill="1" applyAlignment="1" applyProtection="1">
      <alignment horizontal="center" vertical="top"/>
    </xf>
    <xf numFmtId="177" fontId="5" fillId="3" borderId="28" xfId="2" applyNumberFormat="1" applyFont="1" applyFill="1" applyBorder="1" applyAlignment="1" applyProtection="1">
      <alignment shrinkToFit="1"/>
    </xf>
    <xf numFmtId="177" fontId="5" fillId="3" borderId="180" xfId="2" applyNumberFormat="1" applyFont="1" applyFill="1" applyBorder="1" applyAlignment="1" applyProtection="1">
      <alignment shrinkToFit="1"/>
    </xf>
    <xf numFmtId="177" fontId="5" fillId="3" borderId="180" xfId="2" quotePrefix="1" applyNumberFormat="1" applyFont="1" applyFill="1" applyBorder="1" applyAlignment="1" applyProtection="1">
      <alignment horizontal="left" shrinkToFit="1"/>
    </xf>
    <xf numFmtId="177" fontId="5" fillId="3" borderId="180" xfId="2" quotePrefix="1" applyNumberFormat="1" applyFont="1" applyFill="1" applyBorder="1" applyAlignment="1" applyProtection="1">
      <alignment horizontal="center" shrinkToFit="1"/>
    </xf>
    <xf numFmtId="177" fontId="5" fillId="2" borderId="125" xfId="2" applyNumberFormat="1" applyFont="1" applyFill="1" applyBorder="1" applyAlignment="1" applyProtection="1">
      <alignment horizontal="right" shrinkToFit="1"/>
      <protection locked="0"/>
    </xf>
    <xf numFmtId="177" fontId="5" fillId="2" borderId="125" xfId="2" applyNumberFormat="1" applyFont="1" applyFill="1" applyBorder="1" applyAlignment="1" applyProtection="1">
      <alignment shrinkToFit="1"/>
      <protection locked="0"/>
    </xf>
    <xf numFmtId="177" fontId="5" fillId="2" borderId="129" xfId="2" applyNumberFormat="1" applyFont="1" applyFill="1" applyBorder="1" applyAlignment="1" applyProtection="1">
      <alignment horizontal="right" shrinkToFit="1"/>
      <protection locked="0"/>
    </xf>
    <xf numFmtId="177" fontId="5" fillId="2" borderId="129" xfId="2" applyNumberFormat="1" applyFont="1" applyFill="1" applyBorder="1" applyAlignment="1" applyProtection="1">
      <alignment shrinkToFit="1"/>
      <protection locked="0"/>
    </xf>
    <xf numFmtId="177" fontId="25" fillId="0" borderId="0" xfId="2" quotePrefix="1" applyNumberFormat="1" applyFont="1" applyBorder="1" applyAlignment="1" applyProtection="1">
      <alignment horizontal="left" vertical="center"/>
    </xf>
    <xf numFmtId="177" fontId="16" fillId="2" borderId="137" xfId="5" applyNumberFormat="1" applyFont="1" applyFill="1" applyBorder="1" applyAlignment="1" applyProtection="1">
      <alignment shrinkToFit="1"/>
      <protection locked="0"/>
    </xf>
    <xf numFmtId="177" fontId="16" fillId="2" borderId="166" xfId="5" applyNumberFormat="1" applyFont="1" applyFill="1" applyBorder="1" applyAlignment="1" applyProtection="1">
      <alignment shrinkToFit="1"/>
      <protection locked="0"/>
    </xf>
    <xf numFmtId="177" fontId="16" fillId="2" borderId="136" xfId="5" applyNumberFormat="1" applyFont="1" applyFill="1" applyBorder="1" applyAlignment="1" applyProtection="1">
      <alignment shrinkToFit="1"/>
      <protection locked="0"/>
    </xf>
    <xf numFmtId="177" fontId="16" fillId="2" borderId="84" xfId="5" applyNumberFormat="1" applyFont="1" applyFill="1" applyBorder="1" applyAlignment="1" applyProtection="1">
      <alignment shrinkToFit="1"/>
      <protection locked="0"/>
    </xf>
    <xf numFmtId="177" fontId="16" fillId="2" borderId="92" xfId="5" applyNumberFormat="1" applyFont="1" applyFill="1" applyBorder="1" applyAlignment="1" applyProtection="1">
      <alignment shrinkToFit="1"/>
      <protection locked="0"/>
    </xf>
    <xf numFmtId="0" fontId="16" fillId="2" borderId="70" xfId="5" applyFont="1" applyFill="1" applyBorder="1" applyAlignment="1" applyProtection="1">
      <alignment horizontal="center"/>
      <protection locked="0"/>
    </xf>
    <xf numFmtId="177" fontId="2" fillId="0" borderId="0" xfId="2" applyNumberFormat="1" applyFont="1" applyProtection="1"/>
    <xf numFmtId="0" fontId="10" fillId="0" borderId="40" xfId="2" applyNumberFormat="1" applyFont="1" applyBorder="1" applyProtection="1"/>
    <xf numFmtId="177" fontId="10" fillId="0" borderId="17" xfId="2" applyNumberFormat="1" applyFont="1" applyBorder="1" applyAlignment="1" applyProtection="1">
      <alignment horizontal="distributed"/>
    </xf>
    <xf numFmtId="177" fontId="10" fillId="2" borderId="18" xfId="2" applyNumberFormat="1" applyFont="1" applyFill="1" applyBorder="1" applyProtection="1">
      <protection locked="0"/>
    </xf>
    <xf numFmtId="177" fontId="10" fillId="3" borderId="20" xfId="2" applyNumberFormat="1" applyFont="1" applyFill="1" applyBorder="1" applyProtection="1"/>
    <xf numFmtId="177" fontId="4" fillId="0" borderId="14" xfId="2" applyNumberFormat="1" applyFont="1" applyBorder="1" applyAlignment="1" applyProtection="1">
      <alignment shrinkToFit="1"/>
    </xf>
    <xf numFmtId="177" fontId="10" fillId="0" borderId="14" xfId="2" applyNumberFormat="1" applyFont="1" applyBorder="1" applyAlignment="1" applyProtection="1">
      <alignment shrinkToFit="1"/>
    </xf>
    <xf numFmtId="177" fontId="10" fillId="0" borderId="33" xfId="2" applyNumberFormat="1" applyFont="1" applyFill="1" applyBorder="1" applyAlignment="1" applyProtection="1">
      <protection locked="0"/>
    </xf>
    <xf numFmtId="177" fontId="10" fillId="0" borderId="33" xfId="5" applyNumberFormat="1" applyFont="1" applyBorder="1" applyProtection="1">
      <protection locked="0"/>
    </xf>
    <xf numFmtId="177" fontId="10" fillId="0" borderId="34" xfId="5" applyNumberFormat="1" applyFont="1" applyBorder="1" applyProtection="1">
      <protection locked="0"/>
    </xf>
    <xf numFmtId="177" fontId="10" fillId="0" borderId="32" xfId="5" applyNumberFormat="1" applyFont="1" applyBorder="1" applyProtection="1">
      <protection locked="0"/>
    </xf>
    <xf numFmtId="177" fontId="10" fillId="2" borderId="10" xfId="8" applyNumberFormat="1" applyFont="1" applyFill="1" applyBorder="1" applyAlignment="1" applyProtection="1">
      <protection locked="0"/>
    </xf>
    <xf numFmtId="177" fontId="10" fillId="2" borderId="14" xfId="8" applyNumberFormat="1" applyFont="1" applyFill="1" applyBorder="1" applyAlignment="1" applyProtection="1">
      <protection locked="0"/>
    </xf>
    <xf numFmtId="178" fontId="34" fillId="0" borderId="0" xfId="2" applyNumberFormat="1" applyFont="1" applyAlignment="1" applyProtection="1">
      <alignment horizontal="center"/>
    </xf>
    <xf numFmtId="178" fontId="34" fillId="0" borderId="0" xfId="2" applyNumberFormat="1" applyFont="1" applyAlignment="1" applyProtection="1"/>
    <xf numFmtId="177" fontId="35" fillId="0" borderId="0" xfId="0" applyNumberFormat="1" applyFont="1"/>
    <xf numFmtId="177" fontId="36" fillId="0" borderId="0" xfId="0" applyNumberFormat="1" applyFont="1"/>
    <xf numFmtId="0" fontId="37" fillId="0" borderId="0" xfId="7" applyFont="1"/>
    <xf numFmtId="0" fontId="36" fillId="0" borderId="0" xfId="4" applyFont="1" applyAlignment="1">
      <alignment horizontal="right"/>
    </xf>
    <xf numFmtId="177" fontId="38" fillId="8" borderId="0" xfId="0" applyNumberFormat="1" applyFont="1" applyFill="1" applyAlignment="1">
      <alignment horizontal="center"/>
    </xf>
    <xf numFmtId="177" fontId="36" fillId="0" borderId="0" xfId="5" applyNumberFormat="1" applyFont="1"/>
    <xf numFmtId="177" fontId="36" fillId="0" borderId="0" xfId="5" applyNumberFormat="1" applyFont="1" applyAlignment="1">
      <alignment horizontal="center"/>
    </xf>
    <xf numFmtId="0" fontId="37" fillId="0" borderId="141" xfId="7" applyFont="1" applyBorder="1"/>
    <xf numFmtId="0" fontId="37" fillId="0" borderId="51" xfId="7" applyFont="1" applyBorder="1" applyAlignment="1">
      <alignment horizontal="center"/>
    </xf>
    <xf numFmtId="0" fontId="37" fillId="0" borderId="49" xfId="7" applyFont="1" applyBorder="1" applyAlignment="1">
      <alignment horizontal="left"/>
    </xf>
    <xf numFmtId="0" fontId="37" fillId="0" borderId="49" xfId="7" applyFont="1" applyBorder="1"/>
    <xf numFmtId="0" fontId="36" fillId="0" borderId="51" xfId="4" applyFont="1" applyBorder="1" applyAlignment="1">
      <alignment horizontal="right"/>
    </xf>
    <xf numFmtId="0" fontId="37" fillId="0" borderId="4" xfId="7" applyFont="1" applyBorder="1"/>
    <xf numFmtId="0" fontId="37" fillId="0" borderId="37" xfId="7" applyFont="1" applyBorder="1" applyAlignment="1">
      <alignment horizontal="center"/>
    </xf>
    <xf numFmtId="0" fontId="37" fillId="0" borderId="22" xfId="7" applyFont="1" applyBorder="1" applyAlignment="1">
      <alignment horizontal="center"/>
    </xf>
    <xf numFmtId="176" fontId="37" fillId="0" borderId="5" xfId="7" applyNumberFormat="1" applyFont="1" applyBorder="1"/>
    <xf numFmtId="0" fontId="37" fillId="0" borderId="56" xfId="7" applyFont="1" applyBorder="1" applyAlignment="1">
      <alignment horizontal="center"/>
    </xf>
    <xf numFmtId="181" fontId="37" fillId="0" borderId="55" xfId="7" applyNumberFormat="1" applyFont="1" applyBorder="1"/>
    <xf numFmtId="181" fontId="37" fillId="11" borderId="55" xfId="7" applyNumberFormat="1" applyFont="1" applyFill="1" applyBorder="1"/>
    <xf numFmtId="0" fontId="37" fillId="0" borderId="58" xfId="7" applyFont="1" applyBorder="1" applyAlignment="1">
      <alignment horizontal="center"/>
    </xf>
    <xf numFmtId="181" fontId="37" fillId="0" borderId="30" xfId="7" applyNumberFormat="1" applyFont="1" applyBorder="1"/>
    <xf numFmtId="181" fontId="37" fillId="11" borderId="30" xfId="7" applyNumberFormat="1" applyFont="1" applyFill="1" applyBorder="1"/>
    <xf numFmtId="0" fontId="37" fillId="0" borderId="59" xfId="7" applyFont="1" applyBorder="1" applyAlignment="1">
      <alignment horizontal="center"/>
    </xf>
    <xf numFmtId="181" fontId="37" fillId="0" borderId="37" xfId="7" applyNumberFormat="1" applyFont="1" applyBorder="1"/>
    <xf numFmtId="181" fontId="37" fillId="11" borderId="37" xfId="7" applyNumberFormat="1" applyFont="1" applyFill="1" applyBorder="1"/>
    <xf numFmtId="0" fontId="37" fillId="0" borderId="1" xfId="7" applyFont="1" applyBorder="1" applyAlignment="1">
      <alignment horizontal="center"/>
    </xf>
    <xf numFmtId="3" fontId="37" fillId="0" borderId="5" xfId="7" applyNumberFormat="1" applyFont="1" applyBorder="1"/>
    <xf numFmtId="181" fontId="37" fillId="0" borderId="20" xfId="7" applyNumberFormat="1" applyFont="1" applyBorder="1"/>
    <xf numFmtId="3" fontId="37" fillId="0" borderId="0" xfId="7" applyNumberFormat="1" applyFont="1"/>
    <xf numFmtId="177" fontId="36" fillId="0" borderId="2" xfId="5" applyNumberFormat="1" applyFont="1" applyBorder="1"/>
    <xf numFmtId="0" fontId="37" fillId="0" borderId="4" xfId="7" applyFont="1" applyBorder="1" applyAlignment="1">
      <alignment shrinkToFit="1"/>
    </xf>
    <xf numFmtId="178" fontId="12" fillId="0" borderId="0" xfId="8" applyNumberFormat="1" applyFont="1" applyAlignment="1" applyProtection="1"/>
    <xf numFmtId="177" fontId="10" fillId="0" borderId="96" xfId="5" applyNumberFormat="1" applyFont="1" applyBorder="1" applyProtection="1">
      <protection locked="0"/>
    </xf>
    <xf numFmtId="0" fontId="2" fillId="0" borderId="0" xfId="0" applyFont="1"/>
    <xf numFmtId="0" fontId="40" fillId="0" borderId="0" xfId="0" applyFont="1"/>
    <xf numFmtId="0" fontId="2" fillId="3" borderId="0" xfId="0" applyFont="1" applyFill="1" applyAlignment="1">
      <alignment horizontal="center"/>
    </xf>
    <xf numFmtId="0" fontId="2" fillId="0" borderId="165" xfId="0" applyFont="1" applyBorder="1" applyAlignment="1">
      <alignment horizontal="center"/>
    </xf>
    <xf numFmtId="0" fontId="2" fillId="0" borderId="67" xfId="0" applyFont="1" applyBorder="1" applyAlignment="1">
      <alignment horizontal="center"/>
    </xf>
    <xf numFmtId="0" fontId="2" fillId="0" borderId="69" xfId="0" applyFont="1" applyBorder="1" applyAlignment="1">
      <alignment horizontal="center"/>
    </xf>
    <xf numFmtId="177" fontId="2" fillId="0" borderId="0" xfId="2" applyNumberFormat="1" applyFont="1" applyFill="1" applyBorder="1" applyAlignment="1" applyProtection="1">
      <alignment horizontal="center"/>
    </xf>
    <xf numFmtId="0" fontId="2" fillId="6" borderId="157" xfId="0" applyFont="1" applyFill="1" applyBorder="1"/>
    <xf numFmtId="0" fontId="2" fillId="6" borderId="146" xfId="0" applyFont="1" applyFill="1" applyBorder="1"/>
    <xf numFmtId="0" fontId="2" fillId="0" borderId="171" xfId="0" applyFont="1" applyBorder="1"/>
    <xf numFmtId="0" fontId="2" fillId="0" borderId="2" xfId="0" applyFont="1" applyBorder="1"/>
    <xf numFmtId="0" fontId="41" fillId="0" borderId="148" xfId="0" applyFont="1" applyBorder="1"/>
    <xf numFmtId="0" fontId="41" fillId="0" borderId="149" xfId="0" applyFont="1" applyBorder="1"/>
    <xf numFmtId="0" fontId="41" fillId="0" borderId="68" xfId="0" applyFont="1" applyBorder="1"/>
    <xf numFmtId="0" fontId="41" fillId="0" borderId="174" xfId="0" applyFont="1" applyBorder="1"/>
    <xf numFmtId="0" fontId="41" fillId="0" borderId="2" xfId="0" applyFont="1" applyBorder="1"/>
    <xf numFmtId="0" fontId="41" fillId="0" borderId="173" xfId="0" applyFont="1" applyBorder="1"/>
    <xf numFmtId="0" fontId="2" fillId="0" borderId="178" xfId="0" applyFont="1" applyBorder="1"/>
    <xf numFmtId="0" fontId="43" fillId="0" borderId="50" xfId="0" applyFont="1" applyBorder="1"/>
    <xf numFmtId="0" fontId="2" fillId="0" borderId="135" xfId="0" applyFont="1" applyBorder="1"/>
    <xf numFmtId="0" fontId="43" fillId="0" borderId="14" xfId="0" applyFont="1" applyBorder="1"/>
    <xf numFmtId="0" fontId="2" fillId="0" borderId="96" xfId="0" applyFont="1" applyBorder="1"/>
    <xf numFmtId="0" fontId="43" fillId="0" borderId="33" xfId="0" applyFont="1" applyBorder="1"/>
    <xf numFmtId="0" fontId="2" fillId="0" borderId="172" xfId="0" applyFont="1" applyBorder="1"/>
    <xf numFmtId="0" fontId="43" fillId="0" borderId="161" xfId="0" applyFont="1" applyBorder="1"/>
    <xf numFmtId="0" fontId="43" fillId="0" borderId="2" xfId="0" applyFont="1" applyBorder="1"/>
    <xf numFmtId="0" fontId="2" fillId="0" borderId="139" xfId="0" applyFont="1" applyBorder="1"/>
    <xf numFmtId="0" fontId="43" fillId="0" borderId="0" xfId="0" applyFont="1"/>
    <xf numFmtId="0" fontId="2" fillId="0" borderId="105" xfId="0" applyFont="1" applyBorder="1"/>
    <xf numFmtId="0" fontId="43" fillId="0" borderId="17" xfId="0" applyFont="1" applyBorder="1"/>
    <xf numFmtId="0" fontId="2" fillId="7" borderId="172" xfId="0" applyFont="1" applyFill="1" applyBorder="1"/>
    <xf numFmtId="0" fontId="43" fillId="7" borderId="161" xfId="0" applyFont="1" applyFill="1" applyBorder="1"/>
    <xf numFmtId="0" fontId="2" fillId="3" borderId="89" xfId="0" applyFont="1" applyFill="1" applyBorder="1"/>
    <xf numFmtId="0" fontId="43" fillId="3" borderId="112" xfId="0" applyFont="1" applyFill="1" applyBorder="1"/>
    <xf numFmtId="0" fontId="10" fillId="0" borderId="249" xfId="0" applyFont="1" applyBorder="1"/>
    <xf numFmtId="3" fontId="37" fillId="0" borderId="54" xfId="7" applyNumberFormat="1" applyFont="1" applyBorder="1"/>
    <xf numFmtId="3" fontId="37" fillId="0" borderId="16" xfId="7" applyNumberFormat="1" applyFont="1" applyBorder="1"/>
    <xf numFmtId="3" fontId="37" fillId="0" borderId="36" xfId="7" applyNumberFormat="1" applyFont="1" applyBorder="1"/>
    <xf numFmtId="0" fontId="16" fillId="0" borderId="249" xfId="0" applyFont="1" applyBorder="1"/>
    <xf numFmtId="177" fontId="16" fillId="0" borderId="92" xfId="2" applyNumberFormat="1" applyFont="1" applyFill="1" applyBorder="1" applyProtection="1">
      <protection locked="0"/>
    </xf>
    <xf numFmtId="177" fontId="16" fillId="0" borderId="121" xfId="2" applyNumberFormat="1" applyFont="1" applyFill="1" applyBorder="1" applyProtection="1">
      <protection locked="0"/>
    </xf>
    <xf numFmtId="177" fontId="16" fillId="0" borderId="123" xfId="2" applyNumberFormat="1" applyFont="1" applyFill="1" applyBorder="1" applyProtection="1">
      <protection locked="0"/>
    </xf>
    <xf numFmtId="0" fontId="16" fillId="0" borderId="249" xfId="3" applyFont="1" applyBorder="1"/>
    <xf numFmtId="177" fontId="0" fillId="0" borderId="0" xfId="2" applyNumberFormat="1" applyFont="1" applyProtection="1"/>
    <xf numFmtId="177" fontId="0" fillId="0" borderId="0" xfId="2" applyNumberFormat="1" applyFont="1" applyAlignment="1" applyProtection="1">
      <alignment vertical="center"/>
    </xf>
    <xf numFmtId="178" fontId="10" fillId="0" borderId="0" xfId="2" applyNumberFormat="1" applyFont="1" applyFill="1" applyAlignment="1" applyProtection="1">
      <alignment horizontal="center" vertical="center"/>
    </xf>
    <xf numFmtId="177" fontId="10" fillId="0" borderId="0" xfId="2" applyNumberFormat="1" applyFont="1" applyAlignment="1" applyProtection="1">
      <alignment horizontal="center" vertical="center"/>
    </xf>
    <xf numFmtId="177" fontId="24" fillId="0" borderId="0" xfId="2" applyNumberFormat="1" applyFont="1" applyAlignment="1" applyProtection="1">
      <alignment vertical="center"/>
    </xf>
    <xf numFmtId="177" fontId="10" fillId="3" borderId="62" xfId="2" applyNumberFormat="1" applyFont="1" applyFill="1" applyBorder="1" applyAlignment="1" applyProtection="1">
      <alignment horizontal="center" vertical="center"/>
    </xf>
    <xf numFmtId="177" fontId="5" fillId="0" borderId="0" xfId="2" applyNumberFormat="1" applyFont="1" applyProtection="1"/>
    <xf numFmtId="177" fontId="10" fillId="0" borderId="0" xfId="2" applyNumberFormat="1" applyFont="1" applyAlignment="1" applyProtection="1">
      <alignment shrinkToFit="1"/>
    </xf>
    <xf numFmtId="177" fontId="5" fillId="0" borderId="0" xfId="2" applyNumberFormat="1" applyFont="1" applyAlignment="1" applyProtection="1">
      <alignment shrinkToFit="1"/>
    </xf>
    <xf numFmtId="177" fontId="5" fillId="0" borderId="124" xfId="2" applyNumberFormat="1" applyFont="1" applyFill="1" applyBorder="1" applyAlignment="1" applyProtection="1">
      <alignment horizontal="right" shrinkToFit="1"/>
    </xf>
    <xf numFmtId="177" fontId="5" fillId="0" borderId="125" xfId="2" applyNumberFormat="1" applyFont="1" applyFill="1" applyBorder="1" applyAlignment="1" applyProtection="1">
      <alignment shrinkToFit="1"/>
    </xf>
    <xf numFmtId="177" fontId="5" fillId="0" borderId="119" xfId="2" applyNumberFormat="1" applyFont="1" applyFill="1" applyBorder="1" applyAlignment="1" applyProtection="1">
      <alignment horizontal="right" shrinkToFit="1"/>
    </xf>
    <xf numFmtId="177" fontId="5" fillId="0" borderId="120" xfId="2" applyNumberFormat="1" applyFont="1" applyFill="1" applyBorder="1" applyAlignment="1" applyProtection="1">
      <alignment shrinkToFit="1"/>
    </xf>
    <xf numFmtId="177" fontId="5" fillId="0" borderId="137" xfId="2" applyNumberFormat="1" applyFont="1" applyFill="1" applyBorder="1" applyAlignment="1" applyProtection="1">
      <alignment horizontal="right" shrinkToFit="1"/>
    </xf>
    <xf numFmtId="177" fontId="5" fillId="0" borderId="129" xfId="2" applyNumberFormat="1" applyFont="1" applyFill="1" applyBorder="1" applyAlignment="1" applyProtection="1">
      <alignment shrinkToFit="1"/>
    </xf>
    <xf numFmtId="177" fontId="5" fillId="0" borderId="63" xfId="2" applyNumberFormat="1" applyFont="1" applyBorder="1" applyAlignment="1" applyProtection="1">
      <alignment horizontal="right"/>
    </xf>
    <xf numFmtId="177" fontId="10" fillId="0" borderId="64" xfId="2" applyNumberFormat="1" applyFont="1" applyFill="1" applyBorder="1" applyProtection="1"/>
    <xf numFmtId="177" fontId="10" fillId="5" borderId="65" xfId="2" applyNumberFormat="1" applyFont="1" applyFill="1" applyBorder="1" applyProtection="1"/>
    <xf numFmtId="177" fontId="10" fillId="0" borderId="0" xfId="2" applyNumberFormat="1" applyFont="1" applyFill="1" applyProtection="1"/>
    <xf numFmtId="177" fontId="10" fillId="0" borderId="0" xfId="2" applyNumberFormat="1" applyFont="1" applyAlignment="1" applyProtection="1">
      <alignment vertical="center"/>
    </xf>
    <xf numFmtId="177" fontId="10" fillId="0" borderId="56" xfId="2" applyNumberFormat="1" applyFont="1" applyFill="1" applyBorder="1" applyAlignment="1" applyProtection="1">
      <alignment shrinkToFit="1"/>
    </xf>
    <xf numFmtId="180" fontId="10" fillId="0" borderId="94" xfId="2" applyNumberFormat="1" applyFont="1" applyBorder="1" applyAlignment="1" applyProtection="1">
      <alignment shrinkToFit="1"/>
    </xf>
    <xf numFmtId="177" fontId="10" fillId="0" borderId="58" xfId="2" applyNumberFormat="1" applyFont="1" applyFill="1" applyBorder="1" applyAlignment="1" applyProtection="1">
      <alignment shrinkToFit="1"/>
    </xf>
    <xf numFmtId="180" fontId="10" fillId="0" borderId="95" xfId="2" applyNumberFormat="1" applyFont="1" applyBorder="1" applyAlignment="1" applyProtection="1">
      <alignment shrinkToFit="1"/>
    </xf>
    <xf numFmtId="180" fontId="10" fillId="0" borderId="99" xfId="2" applyNumberFormat="1" applyFont="1" applyBorder="1" applyAlignment="1" applyProtection="1">
      <alignment shrinkToFit="1"/>
    </xf>
    <xf numFmtId="177" fontId="10" fillId="0" borderId="142" xfId="2" applyNumberFormat="1" applyFont="1" applyBorder="1" applyAlignment="1" applyProtection="1">
      <alignment horizontal="center" shrinkToFit="1"/>
    </xf>
    <xf numFmtId="177" fontId="10" fillId="0" borderId="177" xfId="2" applyNumberFormat="1" applyFont="1" applyFill="1" applyBorder="1" applyAlignment="1" applyProtection="1">
      <alignment shrinkToFit="1"/>
    </xf>
    <xf numFmtId="177" fontId="10" fillId="5" borderId="143" xfId="2" applyNumberFormat="1" applyFont="1" applyFill="1" applyBorder="1" applyAlignment="1" applyProtection="1">
      <alignment horizontal="center" shrinkToFit="1"/>
    </xf>
    <xf numFmtId="177" fontId="10" fillId="5" borderId="115" xfId="2" applyNumberFormat="1" applyFont="1" applyFill="1" applyBorder="1" applyAlignment="1" applyProtection="1">
      <alignment shrinkToFit="1"/>
    </xf>
    <xf numFmtId="177" fontId="10" fillId="0" borderId="4" xfId="2" applyNumberFormat="1" applyFont="1" applyFill="1" applyBorder="1" applyAlignment="1" applyProtection="1">
      <alignment shrinkToFit="1"/>
    </xf>
    <xf numFmtId="177" fontId="10" fillId="0" borderId="75" xfId="2" applyNumberFormat="1" applyFont="1" applyFill="1" applyBorder="1" applyAlignment="1" applyProtection="1">
      <alignment shrinkToFit="1"/>
    </xf>
    <xf numFmtId="177" fontId="10" fillId="6" borderId="178" xfId="2" applyNumberFormat="1" applyFont="1" applyFill="1" applyBorder="1" applyAlignment="1" applyProtection="1">
      <alignment horizontal="center" shrinkToFit="1"/>
    </xf>
    <xf numFmtId="177" fontId="10" fillId="6" borderId="51" xfId="2" applyNumberFormat="1" applyFont="1" applyFill="1" applyBorder="1" applyAlignment="1" applyProtection="1">
      <alignment shrinkToFit="1"/>
    </xf>
    <xf numFmtId="177" fontId="10" fillId="3" borderId="56" xfId="2" applyNumberFormat="1" applyFont="1" applyFill="1" applyBorder="1" applyAlignment="1" applyProtection="1">
      <alignment shrinkToFit="1"/>
    </xf>
    <xf numFmtId="177" fontId="10" fillId="0" borderId="77" xfId="2" applyNumberFormat="1" applyFont="1" applyFill="1" applyBorder="1" applyAlignment="1" applyProtection="1">
      <alignment shrinkToFit="1"/>
    </xf>
    <xf numFmtId="177" fontId="10" fillId="6" borderId="135" xfId="2" applyNumberFormat="1" applyFont="1" applyFill="1" applyBorder="1" applyAlignment="1" applyProtection="1">
      <alignment horizontal="center" shrinkToFit="1"/>
    </xf>
    <xf numFmtId="177" fontId="10" fillId="6" borderId="15" xfId="2" applyNumberFormat="1" applyFont="1" applyFill="1" applyBorder="1" applyAlignment="1" applyProtection="1">
      <alignment shrinkToFit="1"/>
    </xf>
    <xf numFmtId="177" fontId="10" fillId="3" borderId="58" xfId="2" applyNumberFormat="1" applyFont="1" applyFill="1" applyBorder="1" applyAlignment="1" applyProtection="1">
      <alignment shrinkToFit="1"/>
    </xf>
    <xf numFmtId="177" fontId="10" fillId="3" borderId="76" xfId="2" applyNumberFormat="1" applyFont="1" applyFill="1" applyBorder="1" applyAlignment="1" applyProtection="1">
      <alignment shrinkToFit="1"/>
    </xf>
    <xf numFmtId="177" fontId="10" fillId="6" borderId="135" xfId="2" applyNumberFormat="1" applyFont="1" applyFill="1" applyBorder="1" applyAlignment="1" applyProtection="1">
      <alignment shrinkToFit="1"/>
    </xf>
    <xf numFmtId="177" fontId="10" fillId="6" borderId="96" xfId="2" applyNumberFormat="1" applyFont="1" applyFill="1" applyBorder="1" applyAlignment="1" applyProtection="1">
      <alignment shrinkToFit="1"/>
    </xf>
    <xf numFmtId="177" fontId="10" fillId="6" borderId="34" xfId="2" applyNumberFormat="1" applyFont="1" applyFill="1" applyBorder="1" applyAlignment="1" applyProtection="1">
      <alignment shrinkToFit="1"/>
    </xf>
    <xf numFmtId="177" fontId="10" fillId="3" borderId="59" xfId="2" applyNumberFormat="1" applyFont="1" applyFill="1" applyBorder="1" applyAlignment="1" applyProtection="1">
      <alignment shrinkToFit="1"/>
    </xf>
    <xf numFmtId="177" fontId="10" fillId="0" borderId="59" xfId="2" applyNumberFormat="1" applyFont="1" applyFill="1" applyBorder="1" applyAlignment="1" applyProtection="1">
      <alignment shrinkToFit="1"/>
    </xf>
    <xf numFmtId="177" fontId="10" fillId="3" borderId="77" xfId="2" applyNumberFormat="1" applyFont="1" applyFill="1" applyBorder="1" applyAlignment="1" applyProtection="1">
      <alignment shrinkToFit="1"/>
    </xf>
    <xf numFmtId="177" fontId="10" fillId="0" borderId="1" xfId="2" applyNumberFormat="1" applyFont="1" applyBorder="1" applyAlignment="1" applyProtection="1">
      <alignment shrinkToFit="1"/>
    </xf>
    <xf numFmtId="177" fontId="10" fillId="0" borderId="5" xfId="2" applyNumberFormat="1" applyFont="1" applyFill="1" applyBorder="1" applyAlignment="1" applyProtection="1">
      <alignment shrinkToFit="1"/>
    </xf>
    <xf numFmtId="177" fontId="10" fillId="0" borderId="150" xfId="2" applyNumberFormat="1" applyFont="1" applyBorder="1" applyAlignment="1" applyProtection="1">
      <alignment shrinkToFit="1"/>
    </xf>
    <xf numFmtId="177" fontId="10" fillId="5" borderId="155" xfId="2" applyNumberFormat="1" applyFont="1" applyFill="1" applyBorder="1" applyAlignment="1" applyProtection="1">
      <alignment shrinkToFit="1"/>
    </xf>
    <xf numFmtId="177" fontId="10" fillId="5" borderId="179" xfId="2" applyNumberFormat="1" applyFont="1" applyFill="1" applyBorder="1" applyAlignment="1" applyProtection="1">
      <alignment shrinkToFit="1"/>
    </xf>
    <xf numFmtId="177" fontId="10" fillId="0" borderId="0" xfId="2" applyNumberFormat="1" applyFont="1" applyFill="1" applyBorder="1" applyAlignment="1" applyProtection="1">
      <alignment horizontal="distributed" justifyLastLine="1"/>
    </xf>
    <xf numFmtId="177" fontId="10" fillId="0" borderId="0" xfId="2" applyNumberFormat="1" applyFont="1" applyFill="1" applyBorder="1" applyProtection="1"/>
    <xf numFmtId="177" fontId="14" fillId="0" borderId="0" xfId="2" applyNumberFormat="1" applyFont="1" applyProtection="1"/>
    <xf numFmtId="177" fontId="10" fillId="0" borderId="76" xfId="2" applyNumberFormat="1" applyFont="1" applyFill="1" applyBorder="1" applyAlignment="1" applyProtection="1">
      <alignment shrinkToFit="1"/>
    </xf>
    <xf numFmtId="177" fontId="10" fillId="0" borderId="13" xfId="2" applyNumberFormat="1" applyFont="1" applyFill="1" applyBorder="1" applyAlignment="1" applyProtection="1">
      <alignment shrinkToFit="1"/>
    </xf>
    <xf numFmtId="177" fontId="10" fillId="0" borderId="61" xfId="2" applyNumberFormat="1" applyFont="1" applyFill="1" applyBorder="1" applyAlignment="1" applyProtection="1">
      <alignment shrinkToFit="1"/>
    </xf>
    <xf numFmtId="177" fontId="10" fillId="0" borderId="3" xfId="2" applyNumberFormat="1" applyFont="1" applyFill="1" applyBorder="1" applyAlignment="1" applyProtection="1">
      <alignment shrinkToFit="1"/>
    </xf>
    <xf numFmtId="177" fontId="10" fillId="0" borderId="23" xfId="2" applyNumberFormat="1" applyFont="1" applyFill="1" applyBorder="1" applyAlignment="1" applyProtection="1">
      <alignment shrinkToFit="1"/>
    </xf>
    <xf numFmtId="177" fontId="10" fillId="0" borderId="32" xfId="2" applyNumberFormat="1" applyFont="1" applyFill="1" applyBorder="1" applyAlignment="1" applyProtection="1">
      <alignment shrinkToFit="1"/>
    </xf>
    <xf numFmtId="177" fontId="10" fillId="2" borderId="182" xfId="2" applyNumberFormat="1" applyFont="1" applyFill="1" applyBorder="1" applyAlignment="1" applyProtection="1">
      <alignment shrinkToFit="1"/>
      <protection locked="0"/>
    </xf>
    <xf numFmtId="177" fontId="10" fillId="2" borderId="66" xfId="2" applyNumberFormat="1" applyFont="1" applyFill="1" applyBorder="1" applyProtection="1">
      <protection locked="0"/>
    </xf>
    <xf numFmtId="177" fontId="10" fillId="2" borderId="56" xfId="2" applyNumberFormat="1" applyFont="1" applyFill="1" applyBorder="1" applyAlignment="1" applyProtection="1">
      <alignment shrinkToFit="1"/>
      <protection locked="0"/>
    </xf>
    <xf numFmtId="177" fontId="10" fillId="2" borderId="75" xfId="2" applyNumberFormat="1" applyFont="1" applyFill="1" applyBorder="1" applyAlignment="1" applyProtection="1">
      <alignment shrinkToFit="1"/>
      <protection locked="0"/>
    </xf>
    <xf numFmtId="177" fontId="10" fillId="2" borderId="58" xfId="2" applyNumberFormat="1" applyFont="1" applyFill="1" applyBorder="1" applyAlignment="1" applyProtection="1">
      <alignment shrinkToFit="1"/>
      <protection locked="0"/>
    </xf>
    <xf numFmtId="177" fontId="10" fillId="2" borderId="76" xfId="2" applyNumberFormat="1" applyFont="1" applyFill="1" applyBorder="1" applyAlignment="1" applyProtection="1">
      <alignment shrinkToFit="1"/>
      <protection locked="0"/>
    </xf>
    <xf numFmtId="177" fontId="10" fillId="2" borderId="59" xfId="2" applyNumberFormat="1" applyFont="1" applyFill="1" applyBorder="1" applyAlignment="1" applyProtection="1">
      <alignment shrinkToFit="1"/>
      <protection locked="0"/>
    </xf>
    <xf numFmtId="177" fontId="10" fillId="2" borderId="77" xfId="2" applyNumberFormat="1" applyFont="1" applyFill="1" applyBorder="1" applyAlignment="1" applyProtection="1">
      <alignment shrinkToFit="1"/>
      <protection locked="0"/>
    </xf>
    <xf numFmtId="177" fontId="10" fillId="2" borderId="49" xfId="2" applyNumberFormat="1" applyFont="1" applyFill="1" applyBorder="1" applyAlignment="1" applyProtection="1">
      <alignment shrinkToFit="1"/>
      <protection locked="0"/>
    </xf>
    <xf numFmtId="177" fontId="10" fillId="2" borderId="13" xfId="2" applyNumberFormat="1" applyFont="1" applyFill="1" applyBorder="1" applyAlignment="1" applyProtection="1">
      <alignment shrinkToFit="1"/>
      <protection locked="0"/>
    </xf>
    <xf numFmtId="177" fontId="10" fillId="2" borderId="61" xfId="2" applyNumberFormat="1" applyFont="1" applyFill="1" applyBorder="1" applyAlignment="1" applyProtection="1">
      <alignment shrinkToFit="1"/>
      <protection locked="0"/>
    </xf>
    <xf numFmtId="177" fontId="18" fillId="0" borderId="0" xfId="5" applyNumberFormat="1" applyFont="1" applyAlignment="1">
      <alignment horizontal="centerContinuous"/>
    </xf>
    <xf numFmtId="177" fontId="18" fillId="0" borderId="0" xfId="5" applyNumberFormat="1" applyFont="1" applyAlignment="1">
      <alignment horizontal="left"/>
    </xf>
    <xf numFmtId="177" fontId="10" fillId="0" borderId="16" xfId="2" applyNumberFormat="1" applyFont="1" applyBorder="1" applyProtection="1"/>
    <xf numFmtId="177" fontId="10" fillId="0" borderId="185" xfId="2" applyNumberFormat="1" applyFont="1" applyBorder="1" applyProtection="1"/>
    <xf numFmtId="177" fontId="10" fillId="0" borderId="20" xfId="2" applyNumberFormat="1" applyFont="1" applyFill="1" applyBorder="1" applyProtection="1"/>
    <xf numFmtId="177" fontId="10" fillId="0" borderId="4" xfId="2" applyNumberFormat="1" applyFont="1" applyBorder="1" applyProtection="1">
      <protection locked="0"/>
    </xf>
    <xf numFmtId="177" fontId="10" fillId="0" borderId="3" xfId="2" applyNumberFormat="1" applyFont="1" applyBorder="1" applyProtection="1">
      <protection locked="0"/>
    </xf>
    <xf numFmtId="177" fontId="24" fillId="0" borderId="0" xfId="5" applyNumberFormat="1" applyFont="1" applyAlignment="1">
      <alignment horizontal="left"/>
    </xf>
    <xf numFmtId="177" fontId="19" fillId="0" borderId="0" xfId="0" applyNumberFormat="1" applyFont="1"/>
    <xf numFmtId="177" fontId="16" fillId="0" borderId="0" xfId="0" applyNumberFormat="1" applyFont="1"/>
    <xf numFmtId="177" fontId="5" fillId="3" borderId="0" xfId="4" applyNumberFormat="1" applyFont="1" applyFill="1" applyAlignment="1">
      <alignment horizontal="right" vertical="top"/>
    </xf>
    <xf numFmtId="177" fontId="21" fillId="8" borderId="0" xfId="0" applyNumberFormat="1" applyFont="1" applyFill="1" applyAlignment="1">
      <alignment horizontal="center"/>
    </xf>
    <xf numFmtId="177" fontId="21" fillId="0" borderId="0" xfId="0" applyNumberFormat="1" applyFont="1" applyAlignment="1">
      <alignment horizontal="center"/>
    </xf>
    <xf numFmtId="177" fontId="16" fillId="0" borderId="0" xfId="0" applyNumberFormat="1" applyFont="1" applyAlignment="1">
      <alignment horizontal="center"/>
    </xf>
    <xf numFmtId="177" fontId="20" fillId="0" borderId="0" xfId="0" applyNumberFormat="1" applyFont="1"/>
    <xf numFmtId="177" fontId="5" fillId="0" borderId="0" xfId="0" applyNumberFormat="1" applyFont="1"/>
    <xf numFmtId="177" fontId="16" fillId="0" borderId="0" xfId="0" applyNumberFormat="1" applyFont="1" applyAlignment="1">
      <alignment horizontal="right"/>
    </xf>
    <xf numFmtId="177" fontId="16" fillId="0" borderId="0" xfId="0" applyNumberFormat="1" applyFont="1" applyAlignment="1">
      <alignment vertical="center"/>
    </xf>
    <xf numFmtId="177" fontId="16" fillId="14" borderId="60" xfId="0" applyNumberFormat="1" applyFont="1" applyFill="1" applyBorder="1" applyAlignment="1">
      <alignment horizontal="center" vertical="center" shrinkToFit="1"/>
    </xf>
    <xf numFmtId="177" fontId="16" fillId="14" borderId="180" xfId="0" applyNumberFormat="1" applyFont="1" applyFill="1" applyBorder="1" applyAlignment="1">
      <alignment horizontal="center" vertical="center"/>
    </xf>
    <xf numFmtId="177" fontId="16" fillId="14" borderId="180" xfId="0" applyNumberFormat="1" applyFont="1" applyFill="1" applyBorder="1" applyAlignment="1">
      <alignment horizontal="center" vertical="center" shrinkToFit="1"/>
    </xf>
    <xf numFmtId="177" fontId="16" fillId="14" borderId="169" xfId="0" applyNumberFormat="1" applyFont="1" applyFill="1" applyBorder="1" applyAlignment="1">
      <alignment horizontal="center" vertical="center"/>
    </xf>
    <xf numFmtId="177" fontId="16" fillId="14" borderId="184" xfId="0" applyNumberFormat="1" applyFont="1" applyFill="1" applyBorder="1" applyAlignment="1">
      <alignment horizontal="center" vertical="center"/>
    </xf>
    <xf numFmtId="177" fontId="16" fillId="0" borderId="140" xfId="2" applyNumberFormat="1" applyFont="1" applyFill="1" applyBorder="1" applyProtection="1"/>
    <xf numFmtId="177" fontId="16" fillId="0" borderId="0" xfId="2" applyNumberFormat="1" applyFont="1" applyFill="1" applyBorder="1" applyProtection="1"/>
    <xf numFmtId="177" fontId="16" fillId="0" borderId="90" xfId="0" applyNumberFormat="1" applyFont="1" applyBorder="1" applyAlignment="1">
      <alignment horizontal="distributed" vertical="center"/>
    </xf>
    <xf numFmtId="177" fontId="16" fillId="0" borderId="91" xfId="0" applyNumberFormat="1" applyFont="1" applyBorder="1" applyAlignment="1">
      <alignment horizontal="distributed" vertical="center" justifyLastLine="1"/>
    </xf>
    <xf numFmtId="180" fontId="16" fillId="0" borderId="136" xfId="0" applyNumberFormat="1" applyFont="1" applyBorder="1" applyAlignment="1">
      <alignment vertical="center"/>
    </xf>
    <xf numFmtId="177" fontId="16" fillId="0" borderId="0" xfId="2" applyNumberFormat="1" applyFont="1" applyProtection="1"/>
    <xf numFmtId="180" fontId="16" fillId="0" borderId="137" xfId="0" applyNumberFormat="1" applyFont="1" applyBorder="1" applyAlignment="1">
      <alignment shrinkToFit="1"/>
    </xf>
    <xf numFmtId="177" fontId="16" fillId="0" borderId="0" xfId="0" applyNumberFormat="1" applyFont="1" applyAlignment="1">
      <alignment horizontal="distributed" vertical="center"/>
    </xf>
    <xf numFmtId="177" fontId="16" fillId="0" borderId="0" xfId="2" applyNumberFormat="1" applyFont="1" applyBorder="1" applyAlignment="1" applyProtection="1">
      <alignment horizontal="right"/>
    </xf>
    <xf numFmtId="177" fontId="5" fillId="0" borderId="0" xfId="0" applyNumberFormat="1" applyFont="1" applyAlignment="1">
      <alignment horizontal="left" vertical="center"/>
    </xf>
    <xf numFmtId="0" fontId="17" fillId="0" borderId="0" xfId="0" applyFont="1"/>
    <xf numFmtId="177" fontId="16" fillId="0" borderId="71" xfId="0" applyNumberFormat="1" applyFont="1" applyBorder="1" applyAlignment="1">
      <alignment horizontal="distributed" justifyLastLine="1"/>
    </xf>
    <xf numFmtId="177" fontId="16" fillId="0" borderId="81" xfId="5" applyNumberFormat="1" applyFont="1" applyBorder="1" applyAlignment="1">
      <alignment horizontal="center"/>
    </xf>
    <xf numFmtId="177" fontId="16" fillId="0" borderId="82" xfId="5" applyNumberFormat="1" applyFont="1" applyBorder="1" applyAlignment="1">
      <alignment horizontal="center"/>
    </xf>
    <xf numFmtId="177" fontId="16" fillId="0" borderId="83" xfId="5" applyNumberFormat="1" applyFont="1" applyBorder="1" applyAlignment="1">
      <alignment horizontal="center"/>
    </xf>
    <xf numFmtId="177" fontId="16" fillId="0" borderId="79" xfId="5" applyNumberFormat="1" applyFont="1" applyBorder="1" applyAlignment="1">
      <alignment horizontal="center"/>
    </xf>
    <xf numFmtId="180" fontId="16" fillId="0" borderId="178" xfId="5" applyNumberFormat="1" applyFont="1" applyBorder="1" applyAlignment="1">
      <alignment vertical="center" shrinkToFit="1"/>
    </xf>
    <xf numFmtId="177" fontId="16" fillId="0" borderId="70" xfId="0" applyNumberFormat="1" applyFont="1" applyBorder="1"/>
    <xf numFmtId="180" fontId="16" fillId="0" borderId="135" xfId="5" applyNumberFormat="1" applyFont="1" applyBorder="1" applyAlignment="1">
      <alignment vertical="center" wrapText="1"/>
    </xf>
    <xf numFmtId="177" fontId="16" fillId="0" borderId="101" xfId="0" applyNumberFormat="1" applyFont="1" applyBorder="1"/>
    <xf numFmtId="180" fontId="16" fillId="0" borderId="96" xfId="5" applyNumberFormat="1" applyFont="1" applyBorder="1" applyAlignment="1">
      <alignment vertical="center"/>
    </xf>
    <xf numFmtId="177" fontId="16" fillId="0" borderId="78" xfId="0" applyNumberFormat="1" applyFont="1" applyBorder="1"/>
    <xf numFmtId="177" fontId="16" fillId="0" borderId="89" xfId="5" applyNumberFormat="1" applyFont="1" applyBorder="1" applyAlignment="1">
      <alignment horizontal="center" vertical="center"/>
    </xf>
    <xf numFmtId="177" fontId="16" fillId="0" borderId="86" xfId="2" applyNumberFormat="1" applyFont="1" applyBorder="1" applyProtection="1"/>
    <xf numFmtId="177" fontId="16" fillId="0" borderId="87" xfId="2" applyNumberFormat="1" applyFont="1" applyBorder="1" applyProtection="1"/>
    <xf numFmtId="177" fontId="16" fillId="0" borderId="88" xfId="2" applyNumberFormat="1" applyFont="1" applyBorder="1" applyProtection="1"/>
    <xf numFmtId="177" fontId="16" fillId="0" borderId="80" xfId="0" applyNumberFormat="1" applyFont="1" applyBorder="1"/>
    <xf numFmtId="177" fontId="16" fillId="0" borderId="0" xfId="2" applyNumberFormat="1" applyFont="1" applyBorder="1" applyProtection="1"/>
    <xf numFmtId="177" fontId="5" fillId="0" borderId="0" xfId="5" applyNumberFormat="1" applyFont="1" applyAlignment="1">
      <alignment justifyLastLine="1"/>
    </xf>
    <xf numFmtId="177" fontId="16" fillId="0" borderId="71" xfId="5" applyNumberFormat="1" applyFont="1" applyBorder="1" applyAlignment="1">
      <alignment horizontal="distributed" justifyLastLine="1"/>
    </xf>
    <xf numFmtId="177" fontId="16" fillId="0" borderId="72" xfId="5" applyNumberFormat="1" applyFont="1" applyBorder="1" applyAlignment="1">
      <alignment horizontal="distributed"/>
    </xf>
    <xf numFmtId="177" fontId="16" fillId="0" borderId="73" xfId="5" applyNumberFormat="1" applyFont="1" applyBorder="1" applyAlignment="1">
      <alignment horizontal="distributed"/>
    </xf>
    <xf numFmtId="177" fontId="16" fillId="0" borderId="74" xfId="5" applyNumberFormat="1" applyFont="1" applyBorder="1" applyAlignment="1">
      <alignment horizontal="distributed" justifyLastLine="1"/>
    </xf>
    <xf numFmtId="177" fontId="16" fillId="0" borderId="69" xfId="5" applyNumberFormat="1" applyFont="1" applyBorder="1" applyAlignment="1">
      <alignment horizontal="distributed"/>
    </xf>
    <xf numFmtId="177" fontId="16" fillId="0" borderId="54" xfId="2" applyNumberFormat="1" applyFont="1" applyFill="1" applyBorder="1" applyProtection="1"/>
    <xf numFmtId="177" fontId="16" fillId="0" borderId="75" xfId="5" applyNumberFormat="1" applyFont="1" applyBorder="1" applyAlignment="1">
      <alignment horizontal="right"/>
    </xf>
    <xf numFmtId="177" fontId="16" fillId="0" borderId="16" xfId="2" applyNumberFormat="1" applyFont="1" applyFill="1" applyBorder="1" applyProtection="1"/>
    <xf numFmtId="177" fontId="16" fillId="0" borderId="76" xfId="5" applyNumberFormat="1" applyFont="1" applyBorder="1" applyAlignment="1">
      <alignment horizontal="right"/>
    </xf>
    <xf numFmtId="177" fontId="16" fillId="0" borderId="77" xfId="5" applyNumberFormat="1" applyFont="1" applyBorder="1" applyAlignment="1">
      <alignment horizontal="right"/>
    </xf>
    <xf numFmtId="177" fontId="16" fillId="0" borderId="98" xfId="5" applyNumberFormat="1" applyFont="1" applyBorder="1" applyAlignment="1">
      <alignment horizontal="right"/>
    </xf>
    <xf numFmtId="177" fontId="16" fillId="0" borderId="76" xfId="5" applyNumberFormat="1" applyFont="1" applyBorder="1" applyAlignment="1">
      <alignment horizontal="center"/>
    </xf>
    <xf numFmtId="177" fontId="16" fillId="0" borderId="107" xfId="5" applyNumberFormat="1" applyFont="1" applyBorder="1" applyAlignment="1">
      <alignment horizontal="center"/>
    </xf>
    <xf numFmtId="177" fontId="16" fillId="0" borderId="77" xfId="5" applyNumberFormat="1" applyFont="1" applyBorder="1" applyAlignment="1">
      <alignment horizontal="center" justifyLastLine="1"/>
    </xf>
    <xf numFmtId="177" fontId="16" fillId="7" borderId="110" xfId="5" applyNumberFormat="1" applyFont="1" applyFill="1" applyBorder="1" applyAlignment="1">
      <alignment horizontal="center"/>
    </xf>
    <xf numFmtId="177" fontId="16" fillId="7" borderId="86" xfId="2" applyNumberFormat="1" applyFont="1" applyFill="1" applyBorder="1" applyProtection="1"/>
    <xf numFmtId="177" fontId="16" fillId="7" borderId="88" xfId="2" applyNumberFormat="1" applyFont="1" applyFill="1" applyBorder="1" applyProtection="1"/>
    <xf numFmtId="177" fontId="16" fillId="7" borderId="111" xfId="5" applyNumberFormat="1" applyFont="1" applyFill="1" applyBorder="1"/>
    <xf numFmtId="177" fontId="16" fillId="7" borderId="112" xfId="5" applyNumberFormat="1" applyFont="1" applyFill="1" applyBorder="1"/>
    <xf numFmtId="0" fontId="16" fillId="7" borderId="113" xfId="2" applyNumberFormat="1" applyFont="1" applyFill="1" applyBorder="1" applyAlignment="1" applyProtection="1">
      <alignment horizontal="center"/>
    </xf>
    <xf numFmtId="177" fontId="16" fillId="7" borderId="114" xfId="5" applyNumberFormat="1" applyFont="1" applyFill="1" applyBorder="1"/>
    <xf numFmtId="177" fontId="16" fillId="7" borderId="115" xfId="5" applyNumberFormat="1" applyFont="1" applyFill="1" applyBorder="1" applyAlignment="1">
      <alignment horizontal="center"/>
    </xf>
    <xf numFmtId="177" fontId="16" fillId="0" borderId="8" xfId="0" applyNumberFormat="1" applyFont="1" applyBorder="1" applyAlignment="1">
      <alignment horizontal="center"/>
    </xf>
    <xf numFmtId="177" fontId="16" fillId="0" borderId="134" xfId="0" applyNumberFormat="1" applyFont="1" applyBorder="1" applyAlignment="1">
      <alignment horizontal="center"/>
    </xf>
    <xf numFmtId="177" fontId="16" fillId="0" borderId="20" xfId="0" applyNumberFormat="1" applyFont="1" applyBorder="1" applyAlignment="1">
      <alignment horizontal="center"/>
    </xf>
    <xf numFmtId="177" fontId="16" fillId="0" borderId="60" xfId="0" applyNumberFormat="1" applyFont="1" applyBorder="1"/>
    <xf numFmtId="177" fontId="16" fillId="0" borderId="169" xfId="0" applyNumberFormat="1" applyFont="1" applyBorder="1"/>
    <xf numFmtId="177" fontId="16" fillId="0" borderId="52" xfId="0" applyNumberFormat="1" applyFont="1" applyBorder="1"/>
    <xf numFmtId="177" fontId="16" fillId="0" borderId="141" xfId="0" applyNumberFormat="1" applyFont="1" applyBorder="1" applyAlignment="1">
      <alignment horizontal="center" shrinkToFit="1"/>
    </xf>
    <xf numFmtId="177" fontId="16" fillId="0" borderId="130" xfId="0" applyNumberFormat="1" applyFont="1" applyBorder="1"/>
    <xf numFmtId="177" fontId="16" fillId="0" borderId="3" xfId="0" applyNumberFormat="1" applyFont="1" applyBorder="1"/>
    <xf numFmtId="177" fontId="16" fillId="0" borderId="131" xfId="0" applyNumberFormat="1" applyFont="1" applyBorder="1"/>
    <xf numFmtId="177" fontId="16" fillId="0" borderId="132" xfId="0" applyNumberFormat="1" applyFont="1" applyBorder="1"/>
    <xf numFmtId="177" fontId="16" fillId="0" borderId="4" xfId="0" applyNumberFormat="1" applyFont="1" applyBorder="1"/>
    <xf numFmtId="177" fontId="16" fillId="0" borderId="133" xfId="0" applyNumberFormat="1" applyFont="1" applyBorder="1"/>
    <xf numFmtId="177" fontId="16" fillId="2" borderId="138" xfId="2" applyNumberFormat="1" applyFont="1" applyFill="1" applyBorder="1" applyProtection="1">
      <protection locked="0"/>
    </xf>
    <xf numFmtId="177" fontId="16" fillId="2" borderId="144" xfId="2" applyNumberFormat="1" applyFont="1" applyFill="1" applyBorder="1" applyAlignment="1" applyProtection="1">
      <protection locked="0"/>
    </xf>
    <xf numFmtId="177" fontId="16" fillId="2" borderId="144" xfId="1" applyNumberFormat="1" applyFont="1" applyFill="1" applyBorder="1" applyAlignment="1" applyProtection="1">
      <protection locked="0"/>
    </xf>
    <xf numFmtId="177" fontId="16" fillId="2" borderId="145" xfId="1" applyNumberFormat="1" applyFont="1" applyFill="1" applyBorder="1" applyAlignment="1" applyProtection="1">
      <protection locked="0"/>
    </xf>
    <xf numFmtId="177" fontId="16" fillId="2" borderId="92" xfId="2" applyNumberFormat="1" applyFont="1" applyFill="1" applyBorder="1" applyAlignment="1" applyProtection="1">
      <alignment horizontal="right"/>
      <protection locked="0"/>
    </xf>
    <xf numFmtId="177" fontId="16" fillId="2" borderId="93" xfId="0" applyNumberFormat="1" applyFont="1" applyFill="1" applyBorder="1" applyProtection="1">
      <protection locked="0"/>
    </xf>
    <xf numFmtId="177" fontId="16" fillId="2" borderId="54" xfId="5" applyNumberFormat="1" applyFont="1" applyFill="1" applyBorder="1" applyProtection="1">
      <protection locked="0"/>
    </xf>
    <xf numFmtId="177" fontId="16" fillId="2" borderId="84" xfId="5" applyNumberFormat="1" applyFont="1" applyFill="1" applyBorder="1" applyProtection="1">
      <protection locked="0"/>
    </xf>
    <xf numFmtId="177" fontId="16" fillId="2" borderId="55" xfId="5" applyNumberFormat="1" applyFont="1" applyFill="1" applyBorder="1" applyProtection="1">
      <protection locked="0"/>
    </xf>
    <xf numFmtId="177" fontId="16" fillId="2" borderId="16" xfId="2" applyNumberFormat="1" applyFont="1" applyFill="1" applyBorder="1" applyProtection="1">
      <protection locked="0"/>
    </xf>
    <xf numFmtId="177" fontId="16" fillId="2" borderId="120" xfId="2" applyNumberFormat="1" applyFont="1" applyFill="1" applyBorder="1" applyProtection="1">
      <protection locked="0"/>
    </xf>
    <xf numFmtId="177" fontId="16" fillId="2" borderId="30" xfId="2" applyNumberFormat="1" applyFont="1" applyFill="1" applyBorder="1" applyProtection="1">
      <protection locked="0"/>
    </xf>
    <xf numFmtId="177" fontId="16" fillId="2" borderId="36" xfId="5" applyNumberFormat="1" applyFont="1" applyFill="1" applyBorder="1" applyProtection="1">
      <protection locked="0"/>
    </xf>
    <xf numFmtId="177" fontId="16" fillId="2" borderId="85" xfId="5" applyNumberFormat="1" applyFont="1" applyFill="1" applyBorder="1" applyProtection="1">
      <protection locked="0"/>
    </xf>
    <xf numFmtId="177" fontId="16" fillId="2" borderId="37" xfId="5" applyNumberFormat="1" applyFont="1" applyFill="1" applyBorder="1" applyProtection="1">
      <protection locked="0"/>
    </xf>
    <xf numFmtId="177" fontId="16" fillId="2" borderId="84" xfId="0" applyNumberFormat="1" applyFont="1" applyFill="1" applyBorder="1" applyProtection="1">
      <protection locked="0"/>
    </xf>
    <xf numFmtId="177" fontId="16" fillId="2" borderId="55" xfId="0" applyNumberFormat="1" applyFont="1" applyFill="1" applyBorder="1" applyProtection="1">
      <protection locked="0"/>
    </xf>
    <xf numFmtId="177" fontId="16" fillId="2" borderId="120" xfId="0" applyNumberFormat="1" applyFont="1" applyFill="1" applyBorder="1" applyProtection="1">
      <protection locked="0"/>
    </xf>
    <xf numFmtId="177" fontId="16" fillId="2" borderId="30" xfId="0" applyNumberFormat="1" applyFont="1" applyFill="1" applyBorder="1" applyProtection="1">
      <protection locked="0"/>
    </xf>
    <xf numFmtId="177" fontId="16" fillId="2" borderId="85" xfId="0" applyNumberFormat="1" applyFont="1" applyFill="1" applyBorder="1" applyProtection="1">
      <protection locked="0"/>
    </xf>
    <xf numFmtId="177" fontId="16" fillId="2" borderId="37" xfId="0" applyNumberFormat="1" applyFont="1" applyFill="1" applyBorder="1" applyProtection="1">
      <protection locked="0"/>
    </xf>
    <xf numFmtId="177" fontId="10" fillId="0" borderId="0" xfId="5" applyNumberFormat="1" applyFont="1"/>
    <xf numFmtId="177" fontId="12" fillId="0" borderId="0" xfId="5" applyNumberFormat="1" applyFont="1" applyAlignment="1">
      <alignment horizontal="left"/>
    </xf>
    <xf numFmtId="177" fontId="15" fillId="0" borderId="0" xfId="5" applyNumberFormat="1" applyFont="1" applyAlignment="1">
      <alignment horizontal="left"/>
    </xf>
    <xf numFmtId="177" fontId="22" fillId="0" borderId="0" xfId="5" applyNumberFormat="1" applyFont="1" applyAlignment="1">
      <alignment horizontal="left"/>
    </xf>
    <xf numFmtId="177" fontId="10" fillId="0" borderId="0" xfId="4" applyNumberFormat="1" applyFont="1" applyAlignment="1">
      <alignment horizontal="center" vertical="top"/>
    </xf>
    <xf numFmtId="177" fontId="23" fillId="0" borderId="0" xfId="5" applyNumberFormat="1" applyFont="1"/>
    <xf numFmtId="177" fontId="10" fillId="0" borderId="250" xfId="5" applyNumberFormat="1" applyFont="1" applyBorder="1"/>
    <xf numFmtId="177" fontId="22" fillId="0" borderId="250" xfId="5" applyNumberFormat="1" applyFont="1" applyBorder="1" applyAlignment="1">
      <alignment horizontal="left"/>
    </xf>
    <xf numFmtId="177" fontId="10" fillId="0" borderId="1" xfId="5" applyNumberFormat="1" applyFont="1" applyBorder="1" applyAlignment="1">
      <alignment horizontal="center"/>
    </xf>
    <xf numFmtId="177" fontId="10" fillId="0" borderId="3" xfId="5" applyNumberFormat="1" applyFont="1" applyBorder="1" applyAlignment="1">
      <alignment horizontal="center"/>
    </xf>
    <xf numFmtId="177" fontId="10" fillId="0" borderId="3" xfId="5" applyNumberFormat="1" applyFont="1" applyBorder="1"/>
    <xf numFmtId="177" fontId="10" fillId="0" borderId="4" xfId="5" applyNumberFormat="1" applyFont="1" applyBorder="1"/>
    <xf numFmtId="177" fontId="10" fillId="0" borderId="21" xfId="5" applyNumberFormat="1" applyFont="1" applyBorder="1"/>
    <xf numFmtId="177" fontId="10" fillId="0" borderId="49" xfId="5" applyNumberFormat="1" applyFont="1" applyBorder="1" applyAlignment="1">
      <alignment horizontal="center"/>
    </xf>
    <xf numFmtId="177" fontId="10" fillId="0" borderId="22" xfId="5" applyNumberFormat="1" applyFont="1" applyBorder="1"/>
    <xf numFmtId="177" fontId="10" fillId="0" borderId="23" xfId="5" applyNumberFormat="1" applyFont="1" applyBorder="1"/>
    <xf numFmtId="177" fontId="10" fillId="0" borderId="24" xfId="5" applyNumberFormat="1" applyFont="1" applyBorder="1"/>
    <xf numFmtId="177" fontId="10" fillId="0" borderId="0" xfId="5" applyNumberFormat="1" applyFont="1" applyAlignment="1">
      <alignment horizontal="distributed"/>
    </xf>
    <xf numFmtId="177" fontId="10" fillId="0" borderId="12" xfId="2" applyNumberFormat="1" applyFont="1" applyFill="1" applyBorder="1" applyProtection="1"/>
    <xf numFmtId="177" fontId="10" fillId="0" borderId="27" xfId="2" applyNumberFormat="1" applyFont="1" applyFill="1" applyBorder="1" applyProtection="1"/>
    <xf numFmtId="177" fontId="10" fillId="0" borderId="28" xfId="2" applyNumberFormat="1" applyFont="1" applyFill="1" applyBorder="1" applyProtection="1"/>
    <xf numFmtId="177" fontId="10" fillId="0" borderId="26" xfId="2" applyNumberFormat="1" applyFont="1" applyBorder="1" applyProtection="1"/>
    <xf numFmtId="177" fontId="10" fillId="0" borderId="13" xfId="5" applyNumberFormat="1" applyFont="1" applyBorder="1"/>
    <xf numFmtId="177" fontId="10" fillId="0" borderId="14" xfId="5" applyNumberFormat="1" applyFont="1" applyBorder="1" applyAlignment="1">
      <alignment horizontal="distributed"/>
    </xf>
    <xf numFmtId="177" fontId="10" fillId="0" borderId="15" xfId="5" applyNumberFormat="1" applyFont="1" applyBorder="1"/>
    <xf numFmtId="177" fontId="10" fillId="0" borderId="14" xfId="5" applyNumberFormat="1" applyFont="1" applyBorder="1"/>
    <xf numFmtId="177" fontId="10" fillId="0" borderId="16" xfId="2" applyNumberFormat="1" applyFont="1" applyFill="1" applyBorder="1" applyProtection="1"/>
    <xf numFmtId="177" fontId="10" fillId="0" borderId="31" xfId="2" applyNumberFormat="1" applyFont="1" applyFill="1" applyBorder="1" applyProtection="1"/>
    <xf numFmtId="177" fontId="10" fillId="0" borderId="32" xfId="5" applyNumberFormat="1" applyFont="1" applyBorder="1"/>
    <xf numFmtId="177" fontId="10" fillId="0" borderId="33" xfId="5" applyNumberFormat="1" applyFont="1" applyBorder="1"/>
    <xf numFmtId="177" fontId="10" fillId="0" borderId="34" xfId="5" applyNumberFormat="1" applyFont="1" applyBorder="1"/>
    <xf numFmtId="177" fontId="10" fillId="0" borderId="35" xfId="2" applyNumberFormat="1" applyFont="1" applyBorder="1" applyProtection="1"/>
    <xf numFmtId="177" fontId="10" fillId="0" borderId="36" xfId="2" applyNumberFormat="1" applyFont="1" applyBorder="1" applyProtection="1"/>
    <xf numFmtId="177" fontId="10" fillId="0" borderId="37" xfId="2" applyNumberFormat="1" applyFont="1" applyBorder="1" applyProtection="1"/>
    <xf numFmtId="177" fontId="10" fillId="0" borderId="38" xfId="2" applyNumberFormat="1" applyFont="1" applyFill="1" applyBorder="1" applyProtection="1"/>
    <xf numFmtId="177" fontId="10" fillId="0" borderId="36" xfId="2" applyNumberFormat="1" applyFont="1" applyFill="1" applyBorder="1" applyProtection="1"/>
    <xf numFmtId="177" fontId="10" fillId="0" borderId="39" xfId="2" applyNumberFormat="1" applyFont="1" applyBorder="1" applyProtection="1"/>
    <xf numFmtId="177" fontId="10" fillId="3" borderId="5" xfId="5" applyNumberFormat="1" applyFont="1" applyFill="1" applyBorder="1"/>
    <xf numFmtId="177" fontId="10" fillId="3" borderId="6" xfId="5" applyNumberFormat="1" applyFont="1" applyFill="1" applyBorder="1" applyAlignment="1">
      <alignment horizontal="distributed"/>
    </xf>
    <xf numFmtId="177" fontId="10" fillId="3" borderId="7" xfId="5" applyNumberFormat="1" applyFont="1" applyFill="1" applyBorder="1"/>
    <xf numFmtId="177" fontId="10" fillId="3" borderId="6" xfId="5" applyNumberFormat="1" applyFont="1" applyFill="1" applyBorder="1"/>
    <xf numFmtId="177" fontId="10" fillId="0" borderId="49" xfId="5" applyNumberFormat="1" applyFont="1" applyBorder="1"/>
    <xf numFmtId="177" fontId="10" fillId="0" borderId="41" xfId="5" applyNumberFormat="1" applyFont="1" applyBorder="1" applyAlignment="1">
      <alignment horizontal="distributed"/>
    </xf>
    <xf numFmtId="177" fontId="10" fillId="0" borderId="42" xfId="5" applyNumberFormat="1" applyFont="1" applyBorder="1"/>
    <xf numFmtId="177" fontId="10" fillId="0" borderId="41" xfId="5" applyNumberFormat="1" applyFont="1" applyBorder="1"/>
    <xf numFmtId="177" fontId="10" fillId="0" borderId="43" xfId="2" applyNumberFormat="1" applyFont="1" applyFill="1" applyBorder="1" applyProtection="1"/>
    <xf numFmtId="177" fontId="10" fillId="0" borderId="44" xfId="2" applyNumberFormat="1" applyFont="1" applyFill="1" applyBorder="1" applyProtection="1"/>
    <xf numFmtId="177" fontId="10" fillId="0" borderId="45" xfId="2" applyNumberFormat="1" applyFont="1" applyFill="1" applyBorder="1" applyProtection="1"/>
    <xf numFmtId="177" fontId="10" fillId="0" borderId="46" xfId="2" applyNumberFormat="1" applyFont="1" applyFill="1" applyBorder="1" applyProtection="1"/>
    <xf numFmtId="176" fontId="10" fillId="0" borderId="53" xfId="6" applyNumberFormat="1" applyFont="1" applyFill="1" applyBorder="1" applyAlignment="1" applyProtection="1">
      <alignment horizontal="right"/>
    </xf>
    <xf numFmtId="177" fontId="10" fillId="0" borderId="56" xfId="5" applyNumberFormat="1" applyFont="1" applyBorder="1" applyAlignment="1">
      <alignment horizontal="center"/>
    </xf>
    <xf numFmtId="177" fontId="10" fillId="0" borderId="56" xfId="2" applyNumberFormat="1" applyFont="1" applyBorder="1" applyAlignment="1" applyProtection="1">
      <alignment horizontal="center"/>
    </xf>
    <xf numFmtId="177" fontId="10" fillId="3" borderId="21" xfId="5" applyNumberFormat="1" applyFont="1" applyFill="1" applyBorder="1"/>
    <xf numFmtId="177" fontId="10" fillId="3" borderId="41" xfId="5" applyNumberFormat="1" applyFont="1" applyFill="1" applyBorder="1" applyAlignment="1">
      <alignment horizontal="distributed"/>
    </xf>
    <xf numFmtId="177" fontId="10" fillId="3" borderId="42" xfId="5" applyNumberFormat="1" applyFont="1" applyFill="1" applyBorder="1"/>
    <xf numFmtId="177" fontId="10" fillId="3" borderId="43" xfId="2" applyNumberFormat="1" applyFont="1" applyFill="1" applyBorder="1" applyProtection="1"/>
    <xf numFmtId="177" fontId="10" fillId="3" borderId="45" xfId="2" applyNumberFormat="1" applyFont="1" applyFill="1" applyBorder="1" applyProtection="1"/>
    <xf numFmtId="177" fontId="10" fillId="0" borderId="56" xfId="5" applyNumberFormat="1" applyFont="1" applyBorder="1"/>
    <xf numFmtId="177" fontId="10" fillId="0" borderId="56" xfId="2" applyNumberFormat="1" applyFont="1" applyBorder="1" applyProtection="1"/>
    <xf numFmtId="177" fontId="10" fillId="0" borderId="58" xfId="5" applyNumberFormat="1" applyFont="1" applyBorder="1"/>
    <xf numFmtId="177" fontId="10" fillId="0" borderId="58" xfId="2" applyNumberFormat="1" applyFont="1" applyBorder="1" applyProtection="1"/>
    <xf numFmtId="177" fontId="10" fillId="0" borderId="29" xfId="2" applyNumberFormat="1" applyFont="1" applyFill="1" applyBorder="1" applyProtection="1"/>
    <xf numFmtId="177" fontId="10" fillId="0" borderId="30" xfId="2" applyNumberFormat="1" applyFont="1" applyFill="1" applyBorder="1" applyProtection="1"/>
    <xf numFmtId="177" fontId="10" fillId="0" borderId="33" xfId="5" applyNumberFormat="1" applyFont="1" applyBorder="1" applyAlignment="1">
      <alignment horizontal="distributed"/>
    </xf>
    <xf numFmtId="177" fontId="10" fillId="0" borderId="35" xfId="2" applyNumberFormat="1" applyFont="1" applyFill="1" applyBorder="1" applyProtection="1"/>
    <xf numFmtId="177" fontId="10" fillId="0" borderId="37" xfId="2" applyNumberFormat="1" applyFont="1" applyFill="1" applyBorder="1" applyProtection="1"/>
    <xf numFmtId="177" fontId="10" fillId="3" borderId="47" xfId="2" applyNumberFormat="1" applyFont="1" applyFill="1" applyBorder="1" applyProtection="1"/>
    <xf numFmtId="177" fontId="10" fillId="3" borderId="48" xfId="2" applyNumberFormat="1" applyFont="1" applyFill="1" applyBorder="1" applyProtection="1"/>
    <xf numFmtId="177" fontId="14" fillId="3" borderId="6" xfId="5" applyNumberFormat="1" applyFont="1" applyFill="1" applyBorder="1" applyAlignment="1">
      <alignment horizontal="distributed"/>
    </xf>
    <xf numFmtId="177" fontId="10" fillId="0" borderId="0" xfId="5" applyNumberFormat="1" applyFont="1" applyAlignment="1">
      <alignment horizontal="right"/>
    </xf>
    <xf numFmtId="177" fontId="10" fillId="0" borderId="59" xfId="5" applyNumberFormat="1" applyFont="1" applyBorder="1"/>
    <xf numFmtId="177" fontId="10" fillId="0" borderId="22" xfId="5" applyNumberFormat="1" applyFont="1" applyBorder="1" applyAlignment="1">
      <alignment horizontal="center"/>
    </xf>
    <xf numFmtId="176" fontId="10" fillId="0" borderId="2" xfId="6" applyNumberFormat="1" applyFont="1" applyBorder="1" applyAlignment="1" applyProtection="1">
      <alignment horizontal="right"/>
    </xf>
    <xf numFmtId="177" fontId="10" fillId="0" borderId="50" xfId="5" applyNumberFormat="1" applyFont="1" applyBorder="1" applyProtection="1">
      <protection locked="0"/>
    </xf>
    <xf numFmtId="177" fontId="10" fillId="0" borderId="50" xfId="2" applyNumberFormat="1" applyFont="1" applyFill="1" applyBorder="1" applyAlignment="1" applyProtection="1">
      <protection locked="0"/>
    </xf>
    <xf numFmtId="177" fontId="10" fillId="0" borderId="50" xfId="5" applyNumberFormat="1" applyFont="1" applyBorder="1" applyAlignment="1" applyProtection="1">
      <alignment justifyLastLine="1"/>
      <protection locked="0"/>
    </xf>
    <xf numFmtId="177" fontId="10" fillId="0" borderId="51" xfId="5" applyNumberFormat="1" applyFont="1" applyBorder="1" applyProtection="1">
      <protection locked="0"/>
    </xf>
    <xf numFmtId="177" fontId="13" fillId="0" borderId="14" xfId="5" applyNumberFormat="1" applyFont="1" applyBorder="1" applyProtection="1">
      <protection locked="0"/>
    </xf>
    <xf numFmtId="176" fontId="10" fillId="0" borderId="14" xfId="6" applyNumberFormat="1" applyFont="1" applyFill="1" applyBorder="1" applyAlignment="1" applyProtection="1">
      <protection locked="0"/>
    </xf>
    <xf numFmtId="177" fontId="10" fillId="0" borderId="14" xfId="6" applyNumberFormat="1" applyFont="1" applyFill="1" applyBorder="1" applyAlignment="1" applyProtection="1">
      <protection locked="0"/>
    </xf>
    <xf numFmtId="176" fontId="10" fillId="0" borderId="33" xfId="6" applyNumberFormat="1" applyFont="1" applyFill="1" applyBorder="1" applyAlignment="1" applyProtection="1">
      <protection locked="0"/>
    </xf>
    <xf numFmtId="177" fontId="10" fillId="0" borderId="33" xfId="6" applyNumberFormat="1" applyFont="1" applyFill="1" applyBorder="1" applyAlignment="1" applyProtection="1">
      <protection locked="0"/>
    </xf>
    <xf numFmtId="177" fontId="10" fillId="0" borderId="49" xfId="5" applyNumberFormat="1" applyFont="1" applyBorder="1" applyProtection="1">
      <protection locked="0"/>
    </xf>
    <xf numFmtId="177" fontId="10" fillId="9" borderId="49" xfId="5" applyNumberFormat="1" applyFont="1" applyFill="1" applyBorder="1" applyAlignment="1" applyProtection="1">
      <alignment horizontal="center"/>
      <protection locked="0"/>
    </xf>
    <xf numFmtId="176" fontId="10" fillId="2" borderId="53" xfId="6" applyNumberFormat="1" applyFont="1" applyFill="1" applyBorder="1" applyAlignment="1" applyProtection="1">
      <alignment horizontal="right"/>
      <protection locked="0"/>
    </xf>
    <xf numFmtId="177" fontId="10" fillId="9" borderId="13" xfId="5" applyNumberFormat="1" applyFont="1" applyFill="1" applyBorder="1" applyAlignment="1" applyProtection="1">
      <alignment horizontal="center"/>
      <protection locked="0"/>
    </xf>
    <xf numFmtId="176" fontId="10" fillId="2" borderId="29" xfId="6" applyNumberFormat="1" applyFont="1" applyFill="1" applyBorder="1" applyAlignment="1" applyProtection="1">
      <alignment horizontal="right"/>
      <protection locked="0"/>
    </xf>
    <xf numFmtId="177" fontId="10" fillId="9" borderId="32" xfId="5" applyNumberFormat="1" applyFont="1" applyFill="1" applyBorder="1" applyAlignment="1" applyProtection="1">
      <alignment horizontal="center"/>
      <protection locked="0"/>
    </xf>
    <xf numFmtId="176" fontId="10" fillId="2" borderId="35" xfId="6" applyNumberFormat="1" applyFont="1" applyFill="1" applyBorder="1" applyAlignment="1" applyProtection="1">
      <alignment horizontal="right"/>
      <protection locked="0"/>
    </xf>
    <xf numFmtId="0" fontId="2" fillId="0" borderId="152" xfId="0" applyFont="1" applyBorder="1" applyProtection="1">
      <protection locked="0"/>
    </xf>
    <xf numFmtId="0" fontId="2" fillId="0" borderId="141" xfId="0" applyFont="1" applyBorder="1" applyProtection="1">
      <protection locked="0"/>
    </xf>
    <xf numFmtId="0" fontId="2" fillId="0" borderId="175" xfId="0" applyFont="1" applyBorder="1" applyProtection="1">
      <protection locked="0"/>
    </xf>
    <xf numFmtId="0" fontId="2" fillId="0" borderId="153" xfId="0" applyFont="1" applyBorder="1" applyProtection="1">
      <protection locked="0"/>
    </xf>
    <xf numFmtId="0" fontId="2" fillId="0" borderId="3" xfId="0" applyFont="1" applyBorder="1" applyProtection="1">
      <protection locked="0"/>
    </xf>
    <xf numFmtId="0" fontId="2" fillId="0" borderId="164" xfId="0" applyFont="1" applyBorder="1" applyProtection="1">
      <protection locked="0"/>
    </xf>
    <xf numFmtId="0" fontId="2" fillId="0" borderId="143" xfId="0" applyFont="1" applyBorder="1" applyProtection="1">
      <protection locked="0"/>
    </xf>
    <xf numFmtId="0" fontId="2" fillId="0" borderId="113" xfId="0" applyFont="1" applyBorder="1" applyProtection="1">
      <protection locked="0"/>
    </xf>
    <xf numFmtId="0" fontId="2" fillId="0" borderId="176" xfId="0" applyFont="1" applyBorder="1" applyProtection="1">
      <protection locked="0"/>
    </xf>
    <xf numFmtId="177" fontId="2" fillId="0" borderId="0" xfId="4" applyNumberFormat="1" applyFont="1" applyAlignment="1">
      <alignment horizontal="right" vertical="top"/>
    </xf>
    <xf numFmtId="0" fontId="17" fillId="0" borderId="0" xfId="0" applyFont="1" applyAlignment="1">
      <alignment horizontal="center"/>
    </xf>
    <xf numFmtId="177" fontId="10" fillId="0" borderId="41" xfId="5" applyNumberFormat="1" applyFont="1" applyBorder="1" applyAlignment="1">
      <alignment horizontal="distributed" vertical="center"/>
    </xf>
    <xf numFmtId="177" fontId="10" fillId="0" borderId="2" xfId="5" applyNumberFormat="1" applyFont="1" applyBorder="1" applyAlignment="1">
      <alignment horizontal="distributed" vertical="center"/>
    </xf>
    <xf numFmtId="177" fontId="10" fillId="0" borderId="191" xfId="5" applyNumberFormat="1" applyFont="1" applyBorder="1"/>
    <xf numFmtId="177" fontId="10" fillId="0" borderId="50" xfId="5" applyNumberFormat="1" applyFont="1" applyBorder="1" applyAlignment="1">
      <alignment horizontal="distributed"/>
    </xf>
    <xf numFmtId="177" fontId="10" fillId="0" borderId="57" xfId="8" applyNumberFormat="1" applyFont="1" applyFill="1" applyBorder="1" applyAlignment="1" applyProtection="1"/>
    <xf numFmtId="177" fontId="10" fillId="0" borderId="194" xfId="8" applyNumberFormat="1" applyFont="1" applyBorder="1" applyProtection="1"/>
    <xf numFmtId="177" fontId="4" fillId="0" borderId="14" xfId="5" applyNumberFormat="1" applyFont="1" applyBorder="1" applyAlignment="1">
      <alignment horizontal="distributed"/>
    </xf>
    <xf numFmtId="177" fontId="10" fillId="0" borderId="33" xfId="8" applyNumberFormat="1" applyFont="1" applyBorder="1" applyAlignment="1" applyProtection="1"/>
    <xf numFmtId="177" fontId="10" fillId="0" borderId="195" xfId="8" applyNumberFormat="1" applyFont="1" applyBorder="1" applyAlignment="1" applyProtection="1"/>
    <xf numFmtId="177" fontId="10" fillId="0" borderId="40" xfId="5" applyNumberFormat="1" applyFont="1" applyBorder="1"/>
    <xf numFmtId="177" fontId="10" fillId="0" borderId="17" xfId="5" applyNumberFormat="1" applyFont="1" applyBorder="1"/>
    <xf numFmtId="177" fontId="10" fillId="0" borderId="18" xfId="5" applyNumberFormat="1" applyFont="1" applyBorder="1"/>
    <xf numFmtId="177" fontId="10" fillId="3" borderId="1" xfId="8" applyNumberFormat="1" applyFont="1" applyFill="1" applyBorder="1" applyProtection="1"/>
    <xf numFmtId="177" fontId="10" fillId="3" borderId="1" xfId="8" applyNumberFormat="1" applyFont="1" applyFill="1" applyBorder="1" applyAlignment="1" applyProtection="1"/>
    <xf numFmtId="177" fontId="10" fillId="3" borderId="64" xfId="8" applyNumberFormat="1" applyFont="1" applyFill="1" applyBorder="1" applyAlignment="1" applyProtection="1"/>
    <xf numFmtId="177" fontId="10" fillId="0" borderId="2" xfId="5" applyNumberFormat="1" applyFont="1" applyBorder="1"/>
    <xf numFmtId="177" fontId="10" fillId="0" borderId="21" xfId="5" applyNumberFormat="1" applyFont="1" applyBorder="1" applyAlignment="1">
      <alignment horizontal="distributed"/>
    </xf>
    <xf numFmtId="177" fontId="10" fillId="0" borderId="42" xfId="5" applyNumberFormat="1" applyFont="1" applyBorder="1" applyAlignment="1">
      <alignment horizontal="distributed"/>
    </xf>
    <xf numFmtId="177" fontId="10" fillId="0" borderId="141" xfId="5" applyNumberFormat="1" applyFont="1" applyBorder="1"/>
    <xf numFmtId="177" fontId="10" fillId="0" borderId="195" xfId="5" applyNumberFormat="1" applyFont="1" applyBorder="1"/>
    <xf numFmtId="177" fontId="10" fillId="3" borderId="21" xfId="5" applyNumberFormat="1" applyFont="1" applyFill="1" applyBorder="1" applyAlignment="1">
      <alignment horizontal="distributed"/>
    </xf>
    <xf numFmtId="177" fontId="10" fillId="3" borderId="42" xfId="5" applyNumberFormat="1" applyFont="1" applyFill="1" applyBorder="1" applyAlignment="1">
      <alignment horizontal="distributed"/>
    </xf>
    <xf numFmtId="177" fontId="10" fillId="3" borderId="141" xfId="5" applyNumberFormat="1" applyFont="1" applyFill="1" applyBorder="1"/>
    <xf numFmtId="177" fontId="10" fillId="3" borderId="150" xfId="5" applyNumberFormat="1" applyFont="1" applyFill="1" applyBorder="1"/>
    <xf numFmtId="177" fontId="10" fillId="3" borderId="235" xfId="5" applyNumberFormat="1" applyFont="1" applyFill="1" applyBorder="1"/>
    <xf numFmtId="177" fontId="10" fillId="0" borderId="235" xfId="5" applyNumberFormat="1" applyFont="1" applyBorder="1"/>
    <xf numFmtId="177" fontId="10" fillId="0" borderId="13" xfId="5" applyNumberFormat="1" applyFont="1" applyBorder="1" applyAlignment="1">
      <alignment horizontal="distributed"/>
    </xf>
    <xf numFmtId="177" fontId="10" fillId="0" borderId="15" xfId="5" applyNumberFormat="1" applyFont="1" applyBorder="1" applyAlignment="1">
      <alignment horizontal="distributed"/>
    </xf>
    <xf numFmtId="177" fontId="10" fillId="0" borderId="182" xfId="5" applyNumberFormat="1" applyFont="1" applyBorder="1"/>
    <xf numFmtId="177" fontId="10" fillId="0" borderId="32" xfId="5" applyNumberFormat="1" applyFont="1" applyBorder="1" applyAlignment="1">
      <alignment horizontal="distributed"/>
    </xf>
    <xf numFmtId="177" fontId="10" fillId="0" borderId="34" xfId="5" applyNumberFormat="1" applyFont="1" applyBorder="1" applyAlignment="1">
      <alignment horizontal="distributed"/>
    </xf>
    <xf numFmtId="177" fontId="10" fillId="0" borderId="236" xfId="5" applyNumberFormat="1" applyFont="1" applyBorder="1"/>
    <xf numFmtId="177" fontId="10" fillId="3" borderId="5" xfId="5" applyNumberFormat="1" applyFont="1" applyFill="1" applyBorder="1" applyAlignment="1">
      <alignment horizontal="distributed"/>
    </xf>
    <xf numFmtId="177" fontId="10" fillId="3" borderId="7" xfId="5" applyNumberFormat="1" applyFont="1" applyFill="1" applyBorder="1" applyAlignment="1">
      <alignment horizontal="distributed"/>
    </xf>
    <xf numFmtId="177" fontId="10" fillId="3" borderId="1" xfId="5" applyNumberFormat="1" applyFont="1" applyFill="1" applyBorder="1"/>
    <xf numFmtId="177" fontId="10" fillId="3" borderId="64" xfId="5" applyNumberFormat="1" applyFont="1" applyFill="1" applyBorder="1"/>
    <xf numFmtId="177" fontId="14" fillId="3" borderId="5" xfId="5" applyNumberFormat="1" applyFont="1" applyFill="1" applyBorder="1" applyAlignment="1">
      <alignment horizontal="distributed"/>
    </xf>
    <xf numFmtId="177" fontId="14" fillId="3" borderId="7" xfId="5" applyNumberFormat="1" applyFont="1" applyFill="1" applyBorder="1" applyAlignment="1">
      <alignment horizontal="distributed"/>
    </xf>
    <xf numFmtId="177" fontId="14" fillId="3" borderId="1" xfId="5" applyNumberFormat="1" applyFont="1" applyFill="1" applyBorder="1"/>
    <xf numFmtId="177" fontId="14" fillId="3" borderId="65" xfId="5" applyNumberFormat="1" applyFont="1" applyFill="1" applyBorder="1"/>
    <xf numFmtId="177" fontId="2" fillId="0" borderId="50" xfId="5" applyNumberFormat="1" applyFont="1" applyBorder="1" applyProtection="1">
      <protection locked="0"/>
    </xf>
    <xf numFmtId="177" fontId="2" fillId="0" borderId="51" xfId="5" applyNumberFormat="1" applyFont="1" applyBorder="1" applyProtection="1">
      <protection locked="0"/>
    </xf>
    <xf numFmtId="0" fontId="16" fillId="0" borderId="0" xfId="10" applyFont="1"/>
    <xf numFmtId="0" fontId="30" fillId="0" borderId="0" xfId="10" applyFont="1"/>
    <xf numFmtId="0" fontId="16" fillId="16" borderId="238" xfId="10" applyFont="1" applyFill="1" applyBorder="1" applyAlignment="1">
      <alignment horizontal="center" vertical="center"/>
    </xf>
    <xf numFmtId="0" fontId="16" fillId="16" borderId="199" xfId="10" applyFont="1" applyFill="1" applyBorder="1" applyAlignment="1">
      <alignment horizontal="center" vertical="center"/>
    </xf>
    <xf numFmtId="183" fontId="16" fillId="6" borderId="206" xfId="10" applyNumberFormat="1" applyFont="1" applyFill="1" applyBorder="1" applyAlignment="1">
      <alignment horizontal="center"/>
    </xf>
    <xf numFmtId="183" fontId="16" fillId="6" borderId="207" xfId="10" applyNumberFormat="1" applyFont="1" applyFill="1" applyBorder="1" applyAlignment="1">
      <alignment horizontal="center"/>
    </xf>
    <xf numFmtId="0" fontId="2" fillId="0" borderId="204" xfId="11" applyBorder="1" applyAlignment="1">
      <alignment vertical="center"/>
    </xf>
    <xf numFmtId="0" fontId="2" fillId="0" borderId="196" xfId="11" applyBorder="1" applyAlignment="1">
      <alignment vertical="center"/>
    </xf>
    <xf numFmtId="0" fontId="2" fillId="16" borderId="239" xfId="11" applyFill="1" applyBorder="1" applyAlignment="1">
      <alignment vertical="center"/>
    </xf>
    <xf numFmtId="0" fontId="2" fillId="16" borderId="205" xfId="11" applyFill="1" applyBorder="1" applyAlignment="1">
      <alignment vertical="center"/>
    </xf>
    <xf numFmtId="0" fontId="16" fillId="0" borderId="208" xfId="10" applyFont="1" applyBorder="1"/>
    <xf numFmtId="0" fontId="16" fillId="0" borderId="0" xfId="10" applyFont="1" applyAlignment="1">
      <alignment horizontal="center"/>
    </xf>
    <xf numFmtId="0" fontId="16" fillId="0" borderId="209" xfId="10" applyFont="1" applyBorder="1"/>
    <xf numFmtId="184" fontId="16" fillId="0" borderId="210" xfId="10" applyNumberFormat="1" applyFont="1" applyBorder="1"/>
    <xf numFmtId="184" fontId="20" fillId="0" borderId="210" xfId="10" applyNumberFormat="1" applyFont="1" applyBorder="1"/>
    <xf numFmtId="0" fontId="16" fillId="0" borderId="215" xfId="10" applyFont="1" applyBorder="1" applyAlignment="1">
      <alignment horizontal="center"/>
    </xf>
    <xf numFmtId="0" fontId="16" fillId="0" borderId="216" xfId="10" applyFont="1" applyBorder="1" applyAlignment="1">
      <alignment horizontal="distributed"/>
    </xf>
    <xf numFmtId="0" fontId="16" fillId="0" borderId="217" xfId="10" applyFont="1" applyBorder="1"/>
    <xf numFmtId="0" fontId="16" fillId="0" borderId="220" xfId="10" applyFont="1" applyBorder="1" applyAlignment="1">
      <alignment horizontal="center"/>
    </xf>
    <xf numFmtId="0" fontId="16" fillId="0" borderId="221" xfId="10" applyFont="1" applyBorder="1" applyAlignment="1">
      <alignment horizontal="distributed"/>
    </xf>
    <xf numFmtId="0" fontId="16" fillId="0" borderId="222" xfId="10" applyFont="1" applyBorder="1"/>
    <xf numFmtId="0" fontId="16" fillId="12" borderId="220" xfId="10" applyFont="1" applyFill="1" applyBorder="1" applyAlignment="1">
      <alignment horizontal="center"/>
    </xf>
    <xf numFmtId="0" fontId="16" fillId="12" borderId="221" xfId="10" applyFont="1" applyFill="1" applyBorder="1" applyAlignment="1">
      <alignment horizontal="distributed"/>
    </xf>
    <xf numFmtId="0" fontId="16" fillId="16" borderId="225" xfId="10" applyFont="1" applyFill="1" applyBorder="1" applyAlignment="1">
      <alignment horizontal="center"/>
    </xf>
    <xf numFmtId="0" fontId="16" fillId="16" borderId="226" xfId="10" applyFont="1" applyFill="1" applyBorder="1" applyAlignment="1">
      <alignment horizontal="center"/>
    </xf>
    <xf numFmtId="0" fontId="16" fillId="16" borderId="227" xfId="10" applyFont="1" applyFill="1" applyBorder="1"/>
    <xf numFmtId="0" fontId="16" fillId="0" borderId="208" xfId="10" applyFont="1" applyBorder="1" applyAlignment="1">
      <alignment horizontal="center"/>
    </xf>
    <xf numFmtId="38" fontId="16" fillId="0" borderId="0" xfId="8" applyFont="1" applyProtection="1"/>
    <xf numFmtId="0" fontId="29" fillId="0" borderId="0" xfId="12" applyAlignment="1" applyProtection="1">
      <protection locked="0"/>
    </xf>
    <xf numFmtId="0" fontId="16" fillId="0" borderId="0" xfId="10" applyFont="1" applyProtection="1">
      <protection locked="0"/>
    </xf>
    <xf numFmtId="0" fontId="30" fillId="0" borderId="0" xfId="10" applyFont="1" applyProtection="1">
      <protection locked="0"/>
    </xf>
    <xf numFmtId="0" fontId="29" fillId="0" borderId="0" xfId="12" applyAlignment="1" applyProtection="1">
      <alignment horizontal="center"/>
      <protection locked="0"/>
    </xf>
    <xf numFmtId="177" fontId="29" fillId="0" borderId="0" xfId="12" applyNumberFormat="1" applyAlignment="1" applyProtection="1">
      <protection locked="0"/>
    </xf>
    <xf numFmtId="0" fontId="29" fillId="6" borderId="8" xfId="12" applyFill="1" applyBorder="1" applyAlignment="1" applyProtection="1">
      <alignment horizontal="center"/>
      <protection locked="0"/>
    </xf>
    <xf numFmtId="0" fontId="29" fillId="6" borderId="134" xfId="12" applyFill="1" applyBorder="1" applyAlignment="1" applyProtection="1">
      <alignment horizontal="center"/>
      <protection locked="0"/>
    </xf>
    <xf numFmtId="177" fontId="29" fillId="6" borderId="20" xfId="12" applyNumberFormat="1" applyFill="1" applyBorder="1" applyAlignment="1" applyProtection="1">
      <alignment horizontal="center"/>
      <protection locked="0"/>
    </xf>
    <xf numFmtId="0" fontId="29" fillId="0" borderId="0" xfId="12" applyAlignment="1" applyProtection="1">
      <alignment horizontal="right"/>
      <protection locked="0"/>
    </xf>
    <xf numFmtId="49" fontId="29" fillId="0" borderId="0" xfId="12" applyNumberFormat="1" applyAlignment="1" applyProtection="1">
      <alignment horizontal="center"/>
      <protection locked="0"/>
    </xf>
    <xf numFmtId="0" fontId="29" fillId="0" borderId="54" xfId="12" applyBorder="1" applyAlignment="1" applyProtection="1">
      <protection locked="0"/>
    </xf>
    <xf numFmtId="0" fontId="29" fillId="13" borderId="84" xfId="12" applyFill="1" applyBorder="1" applyAlignment="1" applyProtection="1">
      <alignment shrinkToFit="1"/>
      <protection locked="0"/>
    </xf>
    <xf numFmtId="0" fontId="29" fillId="0" borderId="84" xfId="12" applyBorder="1" applyAlignment="1" applyProtection="1">
      <alignment horizontal="center"/>
      <protection locked="0"/>
    </xf>
    <xf numFmtId="177" fontId="29" fillId="0" borderId="55" xfId="12" applyNumberFormat="1" applyBorder="1" applyAlignment="1" applyProtection="1">
      <protection locked="0"/>
    </xf>
    <xf numFmtId="38" fontId="39" fillId="13" borderId="0" xfId="13" applyFont="1" applyFill="1" applyAlignment="1" applyProtection="1">
      <protection locked="0"/>
    </xf>
    <xf numFmtId="38" fontId="39" fillId="0" borderId="0" xfId="13" applyFont="1" applyAlignment="1" applyProtection="1">
      <protection locked="0"/>
    </xf>
    <xf numFmtId="0" fontId="29" fillId="0" borderId="12" xfId="12" applyBorder="1" applyAlignment="1" applyProtection="1">
      <protection locked="0"/>
    </xf>
    <xf numFmtId="0" fontId="29" fillId="13" borderId="125" xfId="12" applyFill="1" applyBorder="1" applyAlignment="1" applyProtection="1">
      <alignment shrinkToFit="1"/>
      <protection locked="0"/>
    </xf>
    <xf numFmtId="0" fontId="29" fillId="0" borderId="125" xfId="12" applyBorder="1" applyAlignment="1" applyProtection="1">
      <alignment horizontal="center"/>
      <protection locked="0"/>
    </xf>
    <xf numFmtId="177" fontId="29" fillId="0" borderId="26" xfId="12" applyNumberFormat="1" applyBorder="1" applyAlignment="1" applyProtection="1">
      <protection locked="0"/>
    </xf>
    <xf numFmtId="38" fontId="39" fillId="14" borderId="0" xfId="13" applyFont="1" applyFill="1" applyAlignment="1" applyProtection="1">
      <protection locked="0"/>
    </xf>
    <xf numFmtId="0" fontId="29" fillId="0" borderId="16" xfId="12" applyBorder="1" applyAlignment="1" applyProtection="1">
      <protection locked="0"/>
    </xf>
    <xf numFmtId="0" fontId="29" fillId="13" borderId="120" xfId="12" applyFill="1" applyBorder="1" applyAlignment="1" applyProtection="1">
      <alignment shrinkToFit="1"/>
      <protection locked="0"/>
    </xf>
    <xf numFmtId="0" fontId="29" fillId="0" borderId="120" xfId="12" applyBorder="1" applyAlignment="1" applyProtection="1">
      <alignment horizontal="center"/>
      <protection locked="0"/>
    </xf>
    <xf numFmtId="177" fontId="29" fillId="0" borderId="30" xfId="12" applyNumberFormat="1" applyBorder="1" applyAlignment="1" applyProtection="1">
      <protection locked="0"/>
    </xf>
    <xf numFmtId="177" fontId="29" fillId="0" borderId="37" xfId="12" applyNumberFormat="1" applyBorder="1" applyAlignment="1" applyProtection="1">
      <protection locked="0"/>
    </xf>
    <xf numFmtId="177" fontId="29" fillId="2" borderId="52" xfId="12" applyNumberFormat="1" applyFill="1" applyBorder="1" applyAlignment="1" applyProtection="1">
      <protection locked="0"/>
    </xf>
    <xf numFmtId="0" fontId="29" fillId="0" borderId="120" xfId="12" applyBorder="1" applyAlignment="1" applyProtection="1">
      <alignment shrinkToFit="1"/>
      <protection locked="0"/>
    </xf>
    <xf numFmtId="0" fontId="29" fillId="0" borderId="36" xfId="12" applyBorder="1" applyAlignment="1" applyProtection="1">
      <protection locked="0"/>
    </xf>
    <xf numFmtId="0" fontId="29" fillId="0" borderId="85" xfId="12" applyBorder="1" applyAlignment="1" applyProtection="1">
      <alignment shrinkToFit="1"/>
      <protection locked="0"/>
    </xf>
    <xf numFmtId="0" fontId="29" fillId="0" borderId="85" xfId="12" applyBorder="1" applyAlignment="1" applyProtection="1">
      <alignment horizontal="center"/>
      <protection locked="0"/>
    </xf>
    <xf numFmtId="0" fontId="29" fillId="2" borderId="60" xfId="12" applyFill="1" applyBorder="1" applyAlignment="1" applyProtection="1">
      <protection locked="0"/>
    </xf>
    <xf numFmtId="0" fontId="29" fillId="2" borderId="169" xfId="12" applyFill="1" applyBorder="1" applyAlignment="1" applyProtection="1">
      <protection locked="0"/>
    </xf>
    <xf numFmtId="0" fontId="29" fillId="2" borderId="169" xfId="12" applyFill="1" applyBorder="1" applyAlignment="1" applyProtection="1">
      <alignment horizontal="center"/>
      <protection locked="0"/>
    </xf>
    <xf numFmtId="0" fontId="29" fillId="0" borderId="0" xfId="12" applyAlignment="1"/>
    <xf numFmtId="177" fontId="44" fillId="8" borderId="0" xfId="0" applyNumberFormat="1" applyFont="1" applyFill="1" applyAlignment="1">
      <alignment horizontal="center"/>
    </xf>
    <xf numFmtId="177" fontId="2" fillId="0" borderId="2" xfId="5" applyNumberFormat="1" applyFont="1" applyBorder="1"/>
    <xf numFmtId="0" fontId="29" fillId="0" borderId="0" xfId="12" applyAlignment="1">
      <alignment horizontal="center"/>
    </xf>
    <xf numFmtId="0" fontId="29" fillId="6" borderId="8" xfId="12" applyFill="1" applyBorder="1" applyAlignment="1">
      <alignment horizontal="center"/>
    </xf>
    <xf numFmtId="0" fontId="29" fillId="6" borderId="20" xfId="12" applyFill="1" applyBorder="1" applyAlignment="1">
      <alignment horizontal="center"/>
    </xf>
    <xf numFmtId="0" fontId="29" fillId="0" borderId="54" xfId="12" applyBorder="1" applyAlignment="1">
      <alignment horizontal="center"/>
    </xf>
    <xf numFmtId="177" fontId="29" fillId="0" borderId="55" xfId="12" applyNumberFormat="1" applyBorder="1" applyAlignment="1"/>
    <xf numFmtId="0" fontId="29" fillId="0" borderId="16" xfId="12" applyBorder="1" applyAlignment="1">
      <alignment horizontal="center"/>
    </xf>
    <xf numFmtId="177" fontId="29" fillId="0" borderId="30" xfId="12" applyNumberFormat="1" applyBorder="1" applyAlignment="1"/>
    <xf numFmtId="0" fontId="29" fillId="0" borderId="36" xfId="12" applyBorder="1" applyAlignment="1">
      <alignment horizontal="center"/>
    </xf>
    <xf numFmtId="177" fontId="29" fillId="0" borderId="37" xfId="12" applyNumberFormat="1" applyBorder="1" applyAlignment="1"/>
    <xf numFmtId="0" fontId="29" fillId="2" borderId="60" xfId="12" applyFill="1" applyBorder="1" applyAlignment="1">
      <alignment horizontal="center"/>
    </xf>
    <xf numFmtId="177" fontId="29" fillId="2" borderId="52" xfId="12" applyNumberFormat="1" applyFill="1" applyBorder="1" applyAlignment="1"/>
    <xf numFmtId="0" fontId="29" fillId="0" borderId="8" xfId="12" applyBorder="1" applyAlignment="1">
      <alignment horizontal="center"/>
    </xf>
    <xf numFmtId="177" fontId="29" fillId="0" borderId="20" xfId="12" applyNumberFormat="1" applyBorder="1" applyAlignment="1"/>
    <xf numFmtId="0" fontId="2" fillId="0" borderId="0" xfId="11"/>
    <xf numFmtId="0" fontId="2" fillId="0" borderId="1" xfId="11" applyBorder="1" applyAlignment="1">
      <alignment horizontal="center"/>
    </xf>
    <xf numFmtId="38" fontId="2" fillId="0" borderId="6" xfId="2" applyFont="1" applyBorder="1" applyAlignment="1" applyProtection="1">
      <alignment horizontal="center"/>
    </xf>
    <xf numFmtId="38" fontId="2" fillId="0" borderId="1" xfId="2" applyFont="1" applyBorder="1" applyAlignment="1" applyProtection="1">
      <alignment horizontal="center"/>
    </xf>
    <xf numFmtId="0" fontId="2" fillId="0" borderId="5" xfId="11" applyBorder="1"/>
    <xf numFmtId="0" fontId="2" fillId="0" borderId="6" xfId="11" applyBorder="1"/>
    <xf numFmtId="0" fontId="2" fillId="0" borderId="7" xfId="11" applyBorder="1"/>
    <xf numFmtId="0" fontId="2" fillId="0" borderId="188" xfId="11" applyBorder="1" applyAlignment="1">
      <alignment horizontal="center"/>
    </xf>
    <xf numFmtId="0" fontId="2" fillId="0" borderId="189" xfId="11" applyBorder="1" applyAlignment="1">
      <alignment horizontal="center"/>
    </xf>
    <xf numFmtId="0" fontId="2" fillId="0" borderId="190" xfId="11" applyBorder="1" applyAlignment="1">
      <alignment horizontal="center"/>
    </xf>
    <xf numFmtId="38" fontId="0" fillId="0" borderId="6" xfId="2" applyFont="1" applyBorder="1" applyProtection="1"/>
    <xf numFmtId="38" fontId="0" fillId="0" borderId="1" xfId="2" applyFont="1" applyBorder="1" applyProtection="1"/>
    <xf numFmtId="38" fontId="0" fillId="15" borderId="232" xfId="2" applyFont="1" applyFill="1" applyBorder="1" applyProtection="1">
      <protection locked="0"/>
    </xf>
    <xf numFmtId="38" fontId="0" fillId="15" borderId="188" xfId="2" applyFont="1" applyFill="1" applyBorder="1" applyProtection="1">
      <protection locked="0"/>
    </xf>
    <xf numFmtId="38" fontId="0" fillId="15" borderId="233" xfId="2" applyFont="1" applyFill="1" applyBorder="1" applyProtection="1">
      <protection locked="0"/>
    </xf>
    <xf numFmtId="38" fontId="0" fillId="15" borderId="189" xfId="2" applyFont="1" applyFill="1" applyBorder="1" applyProtection="1">
      <protection locked="0"/>
    </xf>
    <xf numFmtId="38" fontId="0" fillId="15" borderId="234" xfId="2" applyFont="1" applyFill="1" applyBorder="1" applyProtection="1">
      <protection locked="0"/>
    </xf>
    <xf numFmtId="38" fontId="0" fillId="15" borderId="190" xfId="2" applyFont="1" applyFill="1" applyBorder="1" applyProtection="1">
      <protection locked="0"/>
    </xf>
    <xf numFmtId="0" fontId="2" fillId="0" borderId="243" xfId="11" applyBorder="1" applyProtection="1">
      <protection locked="0"/>
    </xf>
    <xf numFmtId="0" fontId="2" fillId="0" borderId="232" xfId="11" applyBorder="1" applyProtection="1">
      <protection locked="0"/>
    </xf>
    <xf numFmtId="0" fontId="2" fillId="0" borderId="244" xfId="11" applyBorder="1" applyProtection="1">
      <protection locked="0"/>
    </xf>
    <xf numFmtId="0" fontId="2" fillId="0" borderId="245" xfId="11" applyBorder="1" applyProtection="1">
      <protection locked="0"/>
    </xf>
    <xf numFmtId="0" fontId="2" fillId="0" borderId="233" xfId="11" applyBorder="1" applyProtection="1">
      <protection locked="0"/>
    </xf>
    <xf numFmtId="0" fontId="2" fillId="0" borderId="246" xfId="11" applyBorder="1" applyProtection="1">
      <protection locked="0"/>
    </xf>
    <xf numFmtId="0" fontId="2" fillId="0" borderId="247" xfId="11" applyBorder="1" applyProtection="1">
      <protection locked="0"/>
    </xf>
    <xf numFmtId="0" fontId="2" fillId="0" borderId="234" xfId="11" applyBorder="1" applyProtection="1">
      <protection locked="0"/>
    </xf>
    <xf numFmtId="0" fontId="2" fillId="0" borderId="248" xfId="11" applyBorder="1" applyProtection="1">
      <protection locked="0"/>
    </xf>
    <xf numFmtId="0" fontId="16" fillId="0" borderId="249" xfId="0" applyFont="1" applyBorder="1" applyAlignment="1">
      <alignment horizontal="right"/>
    </xf>
    <xf numFmtId="185" fontId="37" fillId="0" borderId="0" xfId="7" applyNumberFormat="1" applyFont="1"/>
    <xf numFmtId="0" fontId="16" fillId="0" borderId="249" xfId="3" applyFont="1" applyBorder="1" applyAlignment="1">
      <alignment horizontal="right"/>
    </xf>
    <xf numFmtId="0" fontId="10" fillId="0" borderId="249" xfId="0" applyFont="1" applyBorder="1" applyAlignment="1">
      <alignment horizontal="right"/>
    </xf>
    <xf numFmtId="0" fontId="16" fillId="0" borderId="251" xfId="0" applyFont="1" applyBorder="1" applyAlignment="1">
      <alignment shrinkToFit="1"/>
    </xf>
    <xf numFmtId="0" fontId="16" fillId="0" borderId="252" xfId="0" applyFont="1" applyBorder="1"/>
    <xf numFmtId="0" fontId="16" fillId="0" borderId="4" xfId="0" applyFont="1" applyBorder="1"/>
    <xf numFmtId="0" fontId="16" fillId="14" borderId="94" xfId="5" applyFont="1" applyFill="1" applyBorder="1"/>
    <xf numFmtId="0" fontId="16" fillId="14" borderId="95" xfId="5" applyFont="1" applyFill="1" applyBorder="1"/>
    <xf numFmtId="0" fontId="16" fillId="14" borderId="99" xfId="5" applyFont="1" applyFill="1" applyBorder="1"/>
    <xf numFmtId="177" fontId="16" fillId="14" borderId="178" xfId="5" applyNumberFormat="1" applyFont="1" applyFill="1" applyBorder="1"/>
    <xf numFmtId="177" fontId="16" fillId="14" borderId="135" xfId="5" applyNumberFormat="1" applyFont="1" applyFill="1" applyBorder="1"/>
    <xf numFmtId="177" fontId="16" fillId="14" borderId="96" xfId="5" applyNumberFormat="1" applyFont="1" applyFill="1" applyBorder="1"/>
    <xf numFmtId="177" fontId="16" fillId="0" borderId="36" xfId="2" applyNumberFormat="1" applyFont="1" applyFill="1" applyBorder="1" applyProtection="1"/>
    <xf numFmtId="177" fontId="16" fillId="0" borderId="19" xfId="2" applyNumberFormat="1" applyFont="1" applyFill="1" applyBorder="1" applyProtection="1"/>
    <xf numFmtId="0" fontId="16" fillId="0" borderId="251" xfId="0" applyFont="1" applyBorder="1"/>
    <xf numFmtId="0" fontId="16" fillId="0" borderId="67" xfId="0" applyFont="1" applyBorder="1"/>
    <xf numFmtId="177" fontId="10" fillId="3" borderId="69" xfId="2" applyNumberFormat="1" applyFont="1" applyFill="1" applyBorder="1" applyAlignment="1" applyProtection="1">
      <alignment horizontal="center" vertical="center" shrinkToFit="1"/>
    </xf>
    <xf numFmtId="177" fontId="10" fillId="2" borderId="32" xfId="2" applyNumberFormat="1" applyFont="1" applyFill="1" applyBorder="1" applyAlignment="1" applyProtection="1">
      <alignment shrinkToFit="1"/>
      <protection locked="0"/>
    </xf>
    <xf numFmtId="177" fontId="10" fillId="3" borderId="49" xfId="2" applyNumberFormat="1" applyFont="1" applyFill="1" applyBorder="1" applyAlignment="1" applyProtection="1">
      <alignment shrinkToFit="1"/>
    </xf>
    <xf numFmtId="177" fontId="10" fillId="3" borderId="13" xfId="2" applyNumberFormat="1" applyFont="1" applyFill="1" applyBorder="1" applyAlignment="1" applyProtection="1">
      <alignment shrinkToFit="1"/>
    </xf>
    <xf numFmtId="177" fontId="10" fillId="3" borderId="32" xfId="2" applyNumberFormat="1" applyFont="1" applyFill="1" applyBorder="1" applyAlignment="1" applyProtection="1">
      <alignment shrinkToFit="1"/>
    </xf>
    <xf numFmtId="177" fontId="10" fillId="0" borderId="253" xfId="2" applyNumberFormat="1" applyFont="1" applyBorder="1" applyAlignment="1" applyProtection="1">
      <alignment shrinkToFit="1"/>
    </xf>
    <xf numFmtId="177" fontId="10" fillId="0" borderId="49" xfId="2" applyNumberFormat="1" applyFont="1" applyFill="1" applyBorder="1" applyAlignment="1" applyProtection="1">
      <alignment shrinkToFit="1"/>
    </xf>
    <xf numFmtId="177" fontId="10" fillId="0" borderId="254" xfId="2" applyNumberFormat="1" applyFont="1" applyFill="1" applyBorder="1" applyAlignment="1" applyProtection="1">
      <alignment shrinkToFit="1"/>
    </xf>
    <xf numFmtId="177" fontId="10" fillId="2" borderId="107" xfId="2" applyNumberFormat="1" applyFont="1" applyFill="1" applyBorder="1" applyAlignment="1" applyProtection="1">
      <alignment shrinkToFit="1"/>
      <protection locked="0"/>
    </xf>
    <xf numFmtId="177" fontId="10" fillId="6" borderId="105" xfId="2" applyNumberFormat="1" applyFont="1" applyFill="1" applyBorder="1" applyAlignment="1" applyProtection="1">
      <alignment shrinkToFit="1"/>
    </xf>
    <xf numFmtId="177" fontId="10" fillId="6" borderId="18" xfId="2" applyNumberFormat="1" applyFont="1" applyFill="1" applyBorder="1" applyAlignment="1" applyProtection="1">
      <alignment shrinkToFit="1"/>
    </xf>
    <xf numFmtId="177" fontId="10" fillId="3" borderId="61" xfId="2" applyNumberFormat="1" applyFont="1" applyFill="1" applyBorder="1" applyAlignment="1" applyProtection="1">
      <alignment shrinkToFit="1"/>
    </xf>
    <xf numFmtId="177" fontId="10" fillId="3" borderId="40" xfId="2" applyNumberFormat="1" applyFont="1" applyFill="1" applyBorder="1" applyAlignment="1" applyProtection="1">
      <alignment shrinkToFit="1"/>
    </xf>
    <xf numFmtId="177" fontId="10" fillId="3" borderId="107" xfId="2" applyNumberFormat="1" applyFont="1" applyFill="1" applyBorder="1" applyAlignment="1" applyProtection="1">
      <alignment shrinkToFit="1"/>
    </xf>
    <xf numFmtId="177" fontId="10" fillId="6" borderId="151" xfId="2" applyNumberFormat="1" applyFont="1" applyFill="1" applyBorder="1" applyAlignment="1" applyProtection="1">
      <alignment shrinkToFit="1"/>
    </xf>
    <xf numFmtId="177" fontId="10" fillId="6" borderId="255" xfId="2" applyNumberFormat="1" applyFont="1" applyFill="1" applyBorder="1" applyAlignment="1" applyProtection="1">
      <alignment shrinkToFit="1"/>
    </xf>
    <xf numFmtId="177" fontId="10" fillId="3" borderId="249" xfId="2" applyNumberFormat="1" applyFont="1" applyFill="1" applyBorder="1" applyAlignment="1" applyProtection="1">
      <alignment shrinkToFit="1"/>
    </xf>
    <xf numFmtId="177" fontId="10" fillId="0" borderId="249" xfId="2" applyNumberFormat="1" applyFont="1" applyFill="1" applyBorder="1" applyAlignment="1" applyProtection="1">
      <alignment shrinkToFit="1"/>
    </xf>
    <xf numFmtId="177" fontId="10" fillId="3" borderId="253" xfId="2" applyNumberFormat="1" applyFont="1" applyFill="1" applyBorder="1" applyAlignment="1" applyProtection="1">
      <alignment shrinkToFit="1"/>
    </xf>
    <xf numFmtId="177" fontId="5" fillId="3" borderId="25" xfId="2" applyNumberFormat="1" applyFont="1" applyFill="1" applyBorder="1" applyAlignment="1" applyProtection="1">
      <alignment shrinkToFit="1"/>
    </xf>
    <xf numFmtId="177" fontId="5" fillId="0" borderId="254" xfId="2" applyNumberFormat="1" applyFont="1" applyBorder="1" applyProtection="1"/>
    <xf numFmtId="177" fontId="5" fillId="3" borderId="125" xfId="2" applyNumberFormat="1" applyFont="1" applyFill="1" applyBorder="1" applyAlignment="1" applyProtection="1">
      <alignment shrinkToFit="1"/>
    </xf>
    <xf numFmtId="177" fontId="5" fillId="3" borderId="14" xfId="2" applyNumberFormat="1" applyFont="1" applyFill="1" applyBorder="1" applyAlignment="1" applyProtection="1">
      <alignment shrinkToFit="1"/>
    </xf>
    <xf numFmtId="177" fontId="5" fillId="3" borderId="17" xfId="2" applyNumberFormat="1" applyFont="1" applyFill="1" applyBorder="1" applyAlignment="1" applyProtection="1">
      <alignment shrinkToFit="1"/>
    </xf>
    <xf numFmtId="177" fontId="5" fillId="0" borderId="108" xfId="2" applyNumberFormat="1" applyFont="1" applyFill="1" applyBorder="1" applyAlignment="1" applyProtection="1">
      <alignment shrinkToFit="1"/>
    </xf>
    <xf numFmtId="177" fontId="5" fillId="0" borderId="182" xfId="2" applyNumberFormat="1" applyFont="1" applyFill="1" applyBorder="1" applyAlignment="1" applyProtection="1">
      <alignment shrinkToFit="1"/>
    </xf>
    <xf numFmtId="177" fontId="5" fillId="0" borderId="109" xfId="2" applyNumberFormat="1" applyFont="1" applyFill="1" applyBorder="1" applyAlignment="1" applyProtection="1">
      <alignment shrinkToFit="1"/>
    </xf>
    <xf numFmtId="177" fontId="5" fillId="2" borderId="108" xfId="2" applyNumberFormat="1" applyFont="1" applyFill="1" applyBorder="1" applyAlignment="1" applyProtection="1">
      <alignment shrinkToFit="1"/>
      <protection locked="0"/>
    </xf>
    <xf numFmtId="177" fontId="5" fillId="2" borderId="182" xfId="2" applyNumberFormat="1" applyFont="1" applyFill="1" applyBorder="1" applyAlignment="1" applyProtection="1">
      <alignment shrinkToFit="1"/>
      <protection locked="0"/>
    </xf>
    <xf numFmtId="177" fontId="5" fillId="2" borderId="109" xfId="2" applyNumberFormat="1" applyFont="1" applyFill="1" applyBorder="1" applyAlignment="1" applyProtection="1">
      <alignment shrinkToFit="1"/>
      <protection locked="0"/>
    </xf>
    <xf numFmtId="0" fontId="2" fillId="0" borderId="256" xfId="0" applyFont="1" applyBorder="1"/>
    <xf numFmtId="0" fontId="43" fillId="0" borderId="257" xfId="0" applyFont="1" applyBorder="1"/>
    <xf numFmtId="184" fontId="16" fillId="0" borderId="211" xfId="10" applyNumberFormat="1" applyFont="1" applyBorder="1"/>
    <xf numFmtId="184" fontId="16" fillId="0" borderId="211" xfId="8" applyNumberFormat="1" applyFont="1" applyFill="1" applyBorder="1" applyProtection="1"/>
    <xf numFmtId="184" fontId="16" fillId="0" borderId="211" xfId="8" applyNumberFormat="1" applyFont="1" applyBorder="1" applyProtection="1"/>
    <xf numFmtId="184" fontId="16" fillId="0" borderId="212" xfId="10" applyNumberFormat="1" applyFont="1" applyBorder="1" applyProtection="1">
      <protection locked="0"/>
    </xf>
    <xf numFmtId="184" fontId="16" fillId="0" borderId="213" xfId="10" applyNumberFormat="1" applyFont="1" applyBorder="1" applyProtection="1">
      <protection locked="0"/>
    </xf>
    <xf numFmtId="184" fontId="16" fillId="0" borderId="240" xfId="10" applyNumberFormat="1" applyFont="1" applyBorder="1" applyProtection="1">
      <protection locked="0"/>
    </xf>
    <xf numFmtId="184" fontId="16" fillId="0" borderId="214" xfId="10" applyNumberFormat="1" applyFont="1" applyBorder="1"/>
    <xf numFmtId="38" fontId="16" fillId="0" borderId="218" xfId="2" applyFont="1" applyBorder="1"/>
    <xf numFmtId="38" fontId="16" fillId="15" borderId="219" xfId="2" applyFont="1" applyFill="1" applyBorder="1" applyProtection="1">
      <protection locked="0"/>
    </xf>
    <xf numFmtId="38" fontId="16" fillId="0" borderId="219" xfId="2" applyFont="1" applyBorder="1" applyProtection="1"/>
    <xf numFmtId="38" fontId="2" fillId="0" borderId="0" xfId="2" applyAlignment="1" applyProtection="1">
      <alignment vertical="center"/>
      <protection locked="0"/>
    </xf>
    <xf numFmtId="38" fontId="16" fillId="0" borderId="216" xfId="2" applyFont="1" applyBorder="1" applyProtection="1">
      <protection locked="0"/>
    </xf>
    <xf numFmtId="38" fontId="16" fillId="15" borderId="241" xfId="2" applyFont="1" applyFill="1" applyBorder="1" applyProtection="1">
      <protection locked="0"/>
    </xf>
    <xf numFmtId="38" fontId="16" fillId="0" borderId="217" xfId="2" applyFont="1" applyBorder="1"/>
    <xf numFmtId="38" fontId="16" fillId="0" borderId="215" xfId="2" applyFont="1" applyBorder="1" applyProtection="1">
      <protection locked="0"/>
    </xf>
    <xf numFmtId="38" fontId="16" fillId="0" borderId="223" xfId="2" applyFont="1" applyBorder="1"/>
    <xf numFmtId="38" fontId="16" fillId="15" borderId="224" xfId="2" applyFont="1" applyFill="1" applyBorder="1" applyProtection="1">
      <protection locked="0"/>
    </xf>
    <xf numFmtId="38" fontId="16" fillId="0" borderId="224" xfId="2" applyFont="1" applyBorder="1" applyProtection="1"/>
    <xf numFmtId="38" fontId="16" fillId="15" borderId="242" xfId="2" applyFont="1" applyFill="1" applyBorder="1" applyProtection="1">
      <protection locked="0"/>
    </xf>
    <xf numFmtId="38" fontId="16" fillId="16" borderId="228" xfId="2" applyFont="1" applyFill="1" applyBorder="1"/>
    <xf numFmtId="38" fontId="16" fillId="16" borderId="229" xfId="2" applyFont="1" applyFill="1" applyBorder="1" applyProtection="1"/>
    <xf numFmtId="38" fontId="16" fillId="0" borderId="215" xfId="2" applyFont="1" applyFill="1" applyBorder="1" applyProtection="1">
      <protection locked="0"/>
    </xf>
    <xf numFmtId="38" fontId="16" fillId="16" borderId="237" xfId="2" applyFont="1" applyFill="1" applyBorder="1"/>
    <xf numFmtId="38" fontId="16" fillId="0" borderId="210" xfId="2" applyFont="1" applyBorder="1"/>
    <xf numFmtId="38" fontId="16" fillId="0" borderId="211" xfId="2" applyFont="1" applyBorder="1"/>
    <xf numFmtId="38" fontId="16" fillId="0" borderId="211" xfId="2" applyFont="1" applyBorder="1" applyProtection="1"/>
    <xf numFmtId="38" fontId="16" fillId="0" borderId="240" xfId="2" applyFont="1" applyBorder="1" applyProtection="1">
      <protection locked="0"/>
    </xf>
    <xf numFmtId="38" fontId="16" fillId="0" borderId="214" xfId="2" applyFont="1" applyBorder="1"/>
    <xf numFmtId="38" fontId="16" fillId="16" borderId="229" xfId="2" applyFont="1" applyFill="1" applyBorder="1"/>
    <xf numFmtId="38" fontId="16" fillId="0" borderId="230" xfId="2" applyFont="1" applyBorder="1" applyProtection="1">
      <protection locked="0"/>
    </xf>
    <xf numFmtId="38" fontId="16" fillId="0" borderId="231" xfId="2" applyFont="1" applyBorder="1" applyProtection="1">
      <protection locked="0"/>
    </xf>
    <xf numFmtId="38" fontId="16" fillId="16" borderId="227" xfId="2" applyFont="1" applyFill="1" applyBorder="1" applyProtection="1"/>
    <xf numFmtId="177" fontId="45" fillId="0" borderId="0" xfId="2" applyNumberFormat="1" applyFont="1" applyFill="1" applyBorder="1" applyAlignment="1" applyProtection="1">
      <alignment horizontal="center"/>
    </xf>
    <xf numFmtId="177" fontId="45" fillId="0" borderId="0" xfId="2" applyNumberFormat="1" applyFont="1" applyFill="1" applyBorder="1" applyProtection="1"/>
    <xf numFmtId="177" fontId="45" fillId="0" borderId="0" xfId="2" applyNumberFormat="1" applyFont="1" applyProtection="1"/>
    <xf numFmtId="177" fontId="45" fillId="0" borderId="0" xfId="2" applyNumberFormat="1" applyFont="1" applyFill="1" applyBorder="1" applyAlignment="1" applyProtection="1">
      <alignment horizontal="right"/>
    </xf>
    <xf numFmtId="177" fontId="45" fillId="0" borderId="0" xfId="2" applyNumberFormat="1" applyFont="1" applyFill="1" applyBorder="1" applyAlignment="1" applyProtection="1">
      <alignment horizontal="left"/>
    </xf>
    <xf numFmtId="177" fontId="4" fillId="0" borderId="0" xfId="2" applyNumberFormat="1" applyFont="1" applyFill="1" applyBorder="1" applyAlignment="1" applyProtection="1">
      <alignment horizontal="left"/>
    </xf>
    <xf numFmtId="177" fontId="46" fillId="0" borderId="14" xfId="2" applyNumberFormat="1" applyFont="1" applyBorder="1" applyAlignment="1" applyProtection="1">
      <alignment horizontal="distributed"/>
      <protection locked="0"/>
    </xf>
    <xf numFmtId="180" fontId="47" fillId="0" borderId="139" xfId="0" applyNumberFormat="1" applyFont="1" applyBorder="1" applyAlignment="1">
      <alignment vertical="center"/>
    </xf>
    <xf numFmtId="177" fontId="4" fillId="3" borderId="41" xfId="5" applyNumberFormat="1" applyFont="1" applyFill="1" applyBorder="1" applyAlignment="1">
      <alignment horizontal="distributed"/>
    </xf>
    <xf numFmtId="177" fontId="4" fillId="3" borderId="6" xfId="5" applyNumberFormat="1" applyFont="1" applyFill="1" applyBorder="1" applyAlignment="1">
      <alignment horizontal="distributed"/>
    </xf>
    <xf numFmtId="177" fontId="4" fillId="0" borderId="22" xfId="5" applyNumberFormat="1" applyFont="1" applyBorder="1" applyAlignment="1">
      <alignment horizontal="center" vertical="center"/>
    </xf>
    <xf numFmtId="177" fontId="4" fillId="0" borderId="52" xfId="5" applyNumberFormat="1" applyFont="1" applyBorder="1" applyAlignment="1">
      <alignment horizontal="distributed" vertical="center" justifyLastLine="1"/>
    </xf>
    <xf numFmtId="177" fontId="4" fillId="0" borderId="37" xfId="5" applyNumberFormat="1" applyFont="1" applyBorder="1" applyAlignment="1">
      <alignment horizontal="distributed" vertical="center" justifyLastLine="1"/>
    </xf>
    <xf numFmtId="177" fontId="4" fillId="0" borderId="250" xfId="5" applyNumberFormat="1" applyFont="1" applyBorder="1" applyAlignment="1">
      <alignment horizontal="center" vertical="center"/>
    </xf>
    <xf numFmtId="177" fontId="10" fillId="0" borderId="59" xfId="2" applyNumberFormat="1" applyFont="1" applyBorder="1" applyProtection="1"/>
    <xf numFmtId="177" fontId="10" fillId="17" borderId="56" xfId="2" applyNumberFormat="1" applyFont="1" applyFill="1" applyBorder="1" applyAlignment="1" applyProtection="1">
      <alignment shrinkToFit="1"/>
    </xf>
    <xf numFmtId="177" fontId="10" fillId="17" borderId="58" xfId="2" applyNumberFormat="1" applyFont="1" applyFill="1" applyBorder="1" applyAlignment="1" applyProtection="1">
      <alignment shrinkToFit="1"/>
    </xf>
    <xf numFmtId="177" fontId="10" fillId="17" borderId="59" xfId="2" applyNumberFormat="1" applyFont="1" applyFill="1" applyBorder="1" applyAlignment="1" applyProtection="1">
      <alignment shrinkToFit="1"/>
    </xf>
    <xf numFmtId="10" fontId="16" fillId="0" borderId="249" xfId="0" applyNumberFormat="1" applyFont="1" applyBorder="1" applyAlignment="1">
      <alignment horizontal="right"/>
    </xf>
    <xf numFmtId="178" fontId="40" fillId="0" borderId="0" xfId="2" applyNumberFormat="1" applyFont="1" applyAlignment="1" applyProtection="1">
      <alignment horizontal="center"/>
    </xf>
    <xf numFmtId="186" fontId="12" fillId="0" borderId="0" xfId="2" applyNumberFormat="1" applyFont="1" applyAlignment="1" applyProtection="1">
      <alignment horizontal="center"/>
    </xf>
    <xf numFmtId="187" fontId="37" fillId="0" borderId="20" xfId="7" applyNumberFormat="1" applyFont="1" applyBorder="1"/>
    <xf numFmtId="187" fontId="16" fillId="0" borderId="249" xfId="0" applyNumberFormat="1" applyFont="1" applyBorder="1" applyAlignment="1">
      <alignment horizontal="right"/>
    </xf>
    <xf numFmtId="0" fontId="47" fillId="0" borderId="216" xfId="10" applyFont="1" applyBorder="1" applyAlignment="1">
      <alignment horizontal="distributed"/>
    </xf>
    <xf numFmtId="0" fontId="16" fillId="0" borderId="1" xfId="0" applyFont="1" applyBorder="1"/>
    <xf numFmtId="177" fontId="50" fillId="0" borderId="81" xfId="5" applyNumberFormat="1" applyFont="1" applyBorder="1" applyAlignment="1">
      <alignment horizontal="center"/>
    </xf>
    <xf numFmtId="177" fontId="46" fillId="0" borderId="14" xfId="5" applyNumberFormat="1" applyFont="1" applyBorder="1" applyAlignment="1">
      <alignment horizontal="distributed"/>
    </xf>
    <xf numFmtId="177" fontId="47" fillId="0" borderId="104" xfId="5" applyNumberFormat="1" applyFont="1" applyBorder="1" applyAlignment="1">
      <alignment horizontal="center"/>
    </xf>
    <xf numFmtId="177" fontId="16" fillId="0" borderId="106" xfId="2" applyNumberFormat="1" applyFont="1" applyFill="1" applyBorder="1" applyProtection="1">
      <protection locked="0"/>
    </xf>
    <xf numFmtId="177" fontId="16" fillId="2" borderId="108" xfId="5" applyNumberFormat="1" applyFont="1" applyFill="1" applyBorder="1" applyAlignment="1" applyProtection="1">
      <alignment shrinkToFit="1"/>
      <protection locked="0"/>
    </xf>
    <xf numFmtId="177" fontId="16" fillId="2" borderId="182" xfId="5" applyNumberFormat="1" applyFont="1" applyFill="1" applyBorder="1" applyAlignment="1" applyProtection="1">
      <alignment shrinkToFit="1"/>
      <protection locked="0"/>
    </xf>
    <xf numFmtId="177" fontId="2" fillId="0" borderId="0" xfId="2" applyNumberFormat="1" applyFont="1" applyAlignment="1" applyProtection="1">
      <alignment vertical="center"/>
    </xf>
    <xf numFmtId="177" fontId="5" fillId="2" borderId="29" xfId="2" applyNumberFormat="1" applyFont="1" applyFill="1" applyBorder="1" applyAlignment="1" applyProtection="1">
      <alignment shrinkToFit="1"/>
      <protection locked="0"/>
    </xf>
    <xf numFmtId="177" fontId="5" fillId="2" borderId="262" xfId="2" applyNumberFormat="1" applyFont="1" applyFill="1" applyBorder="1" applyAlignment="1" applyProtection="1">
      <alignment shrinkToFit="1"/>
      <protection locked="0"/>
    </xf>
    <xf numFmtId="177" fontId="10" fillId="2" borderId="100" xfId="2" applyNumberFormat="1" applyFont="1" applyFill="1" applyBorder="1" applyAlignment="1" applyProtection="1">
      <alignment shrinkToFit="1"/>
      <protection locked="0"/>
    </xf>
    <xf numFmtId="177" fontId="10" fillId="2" borderId="101" xfId="2" applyNumberFormat="1" applyFont="1" applyFill="1" applyBorder="1" applyAlignment="1" applyProtection="1">
      <alignment shrinkToFit="1"/>
      <protection locked="0"/>
    </xf>
    <xf numFmtId="177" fontId="10" fillId="2" borderId="103" xfId="2" applyNumberFormat="1" applyFont="1" applyFill="1" applyBorder="1" applyAlignment="1" applyProtection="1">
      <alignment shrinkToFit="1"/>
      <protection locked="0"/>
    </xf>
    <xf numFmtId="177" fontId="5" fillId="3" borderId="50" xfId="2" applyNumberFormat="1" applyFont="1" applyFill="1" applyBorder="1" applyAlignment="1" applyProtection="1">
      <alignment shrinkToFit="1"/>
    </xf>
    <xf numFmtId="177" fontId="10" fillId="0" borderId="263" xfId="2" applyNumberFormat="1" applyFont="1" applyFill="1" applyBorder="1" applyAlignment="1" applyProtection="1">
      <alignment shrinkToFit="1"/>
    </xf>
    <xf numFmtId="177" fontId="5" fillId="3" borderId="90" xfId="2" applyNumberFormat="1" applyFont="1" applyFill="1" applyBorder="1" applyAlignment="1" applyProtection="1">
      <alignment horizontal="center" vertical="center"/>
    </xf>
    <xf numFmtId="177" fontId="5" fillId="3" borderId="264" xfId="2" applyNumberFormat="1" applyFont="1" applyFill="1" applyBorder="1" applyAlignment="1" applyProtection="1">
      <alignment horizontal="center" vertical="center"/>
    </xf>
    <xf numFmtId="177" fontId="5" fillId="3" borderId="82" xfId="2" applyNumberFormat="1" applyFont="1" applyFill="1" applyBorder="1" applyAlignment="1" applyProtection="1">
      <alignment horizontal="center" vertical="center"/>
    </xf>
    <xf numFmtId="177" fontId="5" fillId="3" borderId="167" xfId="2" applyNumberFormat="1" applyFont="1" applyFill="1" applyBorder="1" applyAlignment="1" applyProtection="1">
      <alignment horizontal="center" vertical="center"/>
    </xf>
    <xf numFmtId="177" fontId="5" fillId="3" borderId="168" xfId="2" applyNumberFormat="1" applyFont="1" applyFill="1" applyBorder="1" applyAlignment="1" applyProtection="1">
      <alignment horizontal="center" vertical="center"/>
    </xf>
    <xf numFmtId="177" fontId="5" fillId="3" borderId="91" xfId="2" applyNumberFormat="1" applyFont="1" applyFill="1" applyBorder="1" applyAlignment="1" applyProtection="1">
      <alignment horizontal="center" vertical="center"/>
    </xf>
    <xf numFmtId="177" fontId="5" fillId="3" borderId="139" xfId="2" quotePrefix="1" applyNumberFormat="1" applyFont="1" applyFill="1" applyBorder="1" applyAlignment="1" applyProtection="1">
      <alignment horizontal="center" shrinkToFit="1"/>
    </xf>
    <xf numFmtId="177" fontId="5" fillId="3" borderId="265" xfId="2" applyNumberFormat="1" applyFont="1" applyFill="1" applyBorder="1" applyAlignment="1" applyProtection="1">
      <alignment shrinkToFit="1"/>
    </xf>
    <xf numFmtId="177" fontId="5" fillId="3" borderId="135" xfId="2" quotePrefix="1" applyNumberFormat="1" applyFont="1" applyFill="1" applyBorder="1" applyAlignment="1" applyProtection="1">
      <alignment horizontal="center" shrinkToFit="1"/>
    </xf>
    <xf numFmtId="177" fontId="5" fillId="3" borderId="105" xfId="2" quotePrefix="1" applyNumberFormat="1" applyFont="1" applyFill="1" applyBorder="1" applyAlignment="1" applyProtection="1">
      <alignment horizontal="center" shrinkToFit="1"/>
    </xf>
    <xf numFmtId="177" fontId="5" fillId="3" borderId="236" xfId="2" quotePrefix="1" applyNumberFormat="1" applyFont="1" applyFill="1" applyBorder="1" applyAlignment="1" applyProtection="1">
      <alignment horizontal="center" shrinkToFit="1"/>
    </xf>
    <xf numFmtId="177" fontId="5" fillId="3" borderId="266" xfId="2" applyNumberFormat="1" applyFont="1" applyFill="1" applyBorder="1" applyAlignment="1" applyProtection="1">
      <alignment horizontal="center" shrinkToFit="1"/>
    </xf>
    <xf numFmtId="177" fontId="5" fillId="3" borderId="267" xfId="2" applyNumberFormat="1" applyFont="1" applyFill="1" applyBorder="1" applyAlignment="1" applyProtection="1">
      <alignment shrinkToFit="1"/>
    </xf>
    <xf numFmtId="177" fontId="5" fillId="3" borderId="87" xfId="2" applyNumberFormat="1" applyFont="1" applyFill="1" applyBorder="1" applyAlignment="1" applyProtection="1">
      <alignment shrinkToFit="1"/>
    </xf>
    <xf numFmtId="177" fontId="5" fillId="3" borderId="268" xfId="2" applyNumberFormat="1" applyFont="1" applyFill="1" applyBorder="1" applyAlignment="1" applyProtection="1">
      <alignment shrinkToFit="1"/>
    </xf>
    <xf numFmtId="177" fontId="5" fillId="3" borderId="269" xfId="2" applyNumberFormat="1" applyFont="1" applyFill="1" applyBorder="1" applyAlignment="1" applyProtection="1">
      <alignment horizontal="center" vertical="center"/>
    </xf>
    <xf numFmtId="177" fontId="49" fillId="3" borderId="167" xfId="2" applyNumberFormat="1" applyFont="1" applyFill="1" applyBorder="1" applyAlignment="1" applyProtection="1">
      <alignment horizontal="center" vertical="center"/>
    </xf>
    <xf numFmtId="177" fontId="5" fillId="3" borderId="167" xfId="2" quotePrefix="1" applyNumberFormat="1" applyFont="1" applyFill="1" applyBorder="1" applyAlignment="1" applyProtection="1">
      <alignment horizontal="center" vertical="center"/>
    </xf>
    <xf numFmtId="177" fontId="5" fillId="3" borderId="136" xfId="2" quotePrefix="1" applyNumberFormat="1" applyFont="1" applyFill="1" applyBorder="1" applyAlignment="1" applyProtection="1">
      <alignment horizontal="center" shrinkToFit="1"/>
    </xf>
    <xf numFmtId="177" fontId="5" fillId="3" borderId="126" xfId="2" applyNumberFormat="1" applyFont="1" applyFill="1" applyBorder="1" applyAlignment="1" applyProtection="1">
      <alignment shrinkToFit="1"/>
    </xf>
    <xf numFmtId="177" fontId="5" fillId="3" borderId="270" xfId="2" quotePrefix="1" applyNumberFormat="1" applyFont="1" applyFill="1" applyBorder="1" applyAlignment="1" applyProtection="1">
      <alignment horizontal="center" shrinkToFit="1"/>
    </xf>
    <xf numFmtId="177" fontId="5" fillId="3" borderId="101" xfId="2" applyNumberFormat="1" applyFont="1" applyFill="1" applyBorder="1" applyAlignment="1" applyProtection="1">
      <alignment shrinkToFit="1"/>
    </xf>
    <xf numFmtId="177" fontId="5" fillId="3" borderId="138" xfId="2" applyNumberFormat="1" applyFont="1" applyFill="1" applyBorder="1" applyAlignment="1" applyProtection="1">
      <alignment horizontal="right" shrinkToFit="1"/>
    </xf>
    <xf numFmtId="177" fontId="5" fillId="3" borderId="87" xfId="2" applyNumberFormat="1" applyFont="1" applyFill="1" applyBorder="1" applyAlignment="1" applyProtection="1">
      <alignment horizontal="right" shrinkToFit="1"/>
    </xf>
    <xf numFmtId="177" fontId="5" fillId="3" borderId="144" xfId="2" applyNumberFormat="1" applyFont="1" applyFill="1" applyBorder="1" applyAlignment="1" applyProtection="1">
      <alignment horizontal="right" shrinkToFit="1"/>
    </xf>
    <xf numFmtId="177" fontId="5" fillId="3" borderId="183" xfId="2" applyNumberFormat="1" applyFont="1" applyFill="1" applyBorder="1" applyAlignment="1" applyProtection="1">
      <alignment horizontal="right" shrinkToFit="1"/>
    </xf>
    <xf numFmtId="177" fontId="5" fillId="3" borderId="145" xfId="2" quotePrefix="1" applyNumberFormat="1" applyFont="1" applyFill="1" applyBorder="1" applyAlignment="1" applyProtection="1">
      <alignment horizontal="right" shrinkToFit="1"/>
    </xf>
    <xf numFmtId="176" fontId="5" fillId="3" borderId="182" xfId="2" applyNumberFormat="1" applyFont="1" applyFill="1" applyBorder="1" applyAlignment="1" applyProtection="1">
      <alignment shrinkToFit="1"/>
    </xf>
    <xf numFmtId="176" fontId="5" fillId="3" borderId="109" xfId="2" applyNumberFormat="1" applyFont="1" applyFill="1" applyBorder="1" applyAlignment="1" applyProtection="1">
      <alignment shrinkToFit="1"/>
    </xf>
    <xf numFmtId="176" fontId="5" fillId="3" borderId="183" xfId="2" applyNumberFormat="1" applyFont="1" applyFill="1" applyBorder="1" applyAlignment="1" applyProtection="1">
      <alignment shrinkToFit="1"/>
    </xf>
    <xf numFmtId="177" fontId="5" fillId="0" borderId="125" xfId="2" applyNumberFormat="1" applyFont="1" applyFill="1" applyBorder="1" applyAlignment="1" applyProtection="1">
      <alignment horizontal="right" shrinkToFit="1"/>
    </xf>
    <xf numFmtId="177" fontId="5" fillId="0" borderId="129" xfId="2" applyNumberFormat="1" applyFont="1" applyFill="1" applyBorder="1" applyAlignment="1" applyProtection="1">
      <alignment horizontal="right" shrinkToFit="1"/>
    </xf>
    <xf numFmtId="177" fontId="5" fillId="0" borderId="116" xfId="2" applyNumberFormat="1" applyFont="1" applyFill="1" applyBorder="1" applyAlignment="1" applyProtection="1">
      <alignment shrinkToFit="1"/>
    </xf>
    <xf numFmtId="177" fontId="5" fillId="0" borderId="119" xfId="2" applyNumberFormat="1" applyFont="1" applyFill="1" applyBorder="1" applyAlignment="1" applyProtection="1">
      <alignment shrinkToFit="1"/>
    </xf>
    <xf numFmtId="177" fontId="5" fillId="0" borderId="137" xfId="2" applyNumberFormat="1" applyFont="1" applyFill="1" applyBorder="1" applyAlignment="1" applyProtection="1">
      <alignment shrinkToFit="1"/>
    </xf>
    <xf numFmtId="177" fontId="5" fillId="0" borderId="104" xfId="2" applyNumberFormat="1" applyFont="1" applyFill="1" applyBorder="1" applyAlignment="1" applyProtection="1">
      <alignment shrinkToFit="1"/>
    </xf>
    <xf numFmtId="177" fontId="5" fillId="2" borderId="25" xfId="2" applyNumberFormat="1" applyFont="1" applyFill="1" applyBorder="1" applyAlignment="1" applyProtection="1">
      <alignment shrinkToFit="1"/>
      <protection locked="0"/>
    </xf>
    <xf numFmtId="177" fontId="5" fillId="18" borderId="110" xfId="2" applyNumberFormat="1" applyFont="1" applyFill="1" applyBorder="1" applyAlignment="1" applyProtection="1">
      <alignment shrinkToFit="1"/>
    </xf>
    <xf numFmtId="177" fontId="5" fillId="18" borderId="271" xfId="2" applyNumberFormat="1" applyFont="1" applyFill="1" applyBorder="1" applyAlignment="1" applyProtection="1">
      <alignment shrinkToFit="1"/>
    </xf>
    <xf numFmtId="177" fontId="5" fillId="18" borderId="114" xfId="2" applyNumberFormat="1" applyFont="1" applyFill="1" applyBorder="1" applyAlignment="1" applyProtection="1">
      <alignment shrinkToFit="1"/>
    </xf>
    <xf numFmtId="0" fontId="37" fillId="0" borderId="250" xfId="7" applyFont="1" applyBorder="1"/>
    <xf numFmtId="177" fontId="36" fillId="0" borderId="2" xfId="5" applyNumberFormat="1" applyFont="1" applyBorder="1" applyAlignment="1">
      <alignment horizontal="left"/>
    </xf>
    <xf numFmtId="0" fontId="29" fillId="0" borderId="250" xfId="12" applyBorder="1" applyAlignment="1"/>
    <xf numFmtId="0" fontId="2" fillId="0" borderId="250" xfId="11" applyBorder="1" applyAlignment="1">
      <alignment shrinkToFit="1"/>
    </xf>
    <xf numFmtId="177" fontId="5" fillId="3" borderId="31" xfId="2" applyNumberFormat="1" applyFont="1" applyFill="1" applyBorder="1" applyAlignment="1" applyProtection="1">
      <alignment shrinkToFit="1"/>
    </xf>
    <xf numFmtId="177" fontId="51" fillId="0" borderId="0" xfId="2" applyNumberFormat="1" applyFont="1" applyFill="1" applyBorder="1" applyAlignment="1" applyProtection="1">
      <alignment horizontal="left"/>
    </xf>
    <xf numFmtId="177" fontId="5" fillId="0" borderId="181" xfId="2" applyNumberFormat="1" applyFont="1" applyBorder="1" applyAlignment="1" applyProtection="1">
      <alignment shrinkToFit="1"/>
    </xf>
    <xf numFmtId="177" fontId="5" fillId="0" borderId="29" xfId="2" applyNumberFormat="1" applyFont="1" applyBorder="1" applyAlignment="1" applyProtection="1">
      <alignment shrinkToFit="1"/>
    </xf>
    <xf numFmtId="177" fontId="5" fillId="0" borderId="262" xfId="2" applyNumberFormat="1" applyFont="1" applyBorder="1" applyAlignment="1" applyProtection="1">
      <alignment shrinkToFit="1"/>
    </xf>
    <xf numFmtId="177" fontId="5" fillId="9" borderId="100" xfId="2" applyNumberFormat="1" applyFont="1" applyFill="1" applyBorder="1" applyAlignment="1" applyProtection="1">
      <alignment horizontal="right" shrinkToFit="1"/>
      <protection locked="0"/>
    </xf>
    <xf numFmtId="177" fontId="5" fillId="9" borderId="101" xfId="2" applyNumberFormat="1" applyFont="1" applyFill="1" applyBorder="1" applyAlignment="1" applyProtection="1">
      <alignment horizontal="right" shrinkToFit="1"/>
      <protection locked="0"/>
    </xf>
    <xf numFmtId="177" fontId="5" fillId="9" borderId="103" xfId="2" applyNumberFormat="1" applyFont="1" applyFill="1" applyBorder="1" applyAlignment="1" applyProtection="1">
      <alignment horizontal="right" shrinkToFit="1"/>
      <protection locked="0"/>
    </xf>
    <xf numFmtId="177" fontId="5" fillId="6" borderId="117" xfId="2" applyNumberFormat="1" applyFont="1" applyFill="1" applyBorder="1" applyAlignment="1" applyProtection="1">
      <alignment shrinkToFit="1"/>
    </xf>
    <xf numFmtId="177" fontId="5" fillId="6" borderId="120" xfId="2" applyNumberFormat="1" applyFont="1" applyFill="1" applyBorder="1" applyAlignment="1" applyProtection="1">
      <alignment shrinkToFit="1"/>
    </xf>
    <xf numFmtId="177" fontId="5" fillId="6" borderId="129" xfId="2" applyNumberFormat="1" applyFont="1" applyFill="1" applyBorder="1" applyAlignment="1" applyProtection="1">
      <alignment shrinkToFit="1"/>
    </xf>
    <xf numFmtId="177" fontId="10" fillId="9" borderId="40" xfId="5" applyNumberFormat="1" applyFont="1" applyFill="1" applyBorder="1" applyAlignment="1" applyProtection="1">
      <alignment horizontal="center"/>
      <protection locked="0"/>
    </xf>
    <xf numFmtId="176" fontId="10" fillId="2" borderId="272" xfId="6" applyNumberFormat="1" applyFont="1" applyFill="1" applyBorder="1" applyAlignment="1" applyProtection="1">
      <alignment horizontal="right"/>
      <protection locked="0"/>
    </xf>
    <xf numFmtId="177" fontId="10" fillId="0" borderId="273" xfId="2" applyNumberFormat="1" applyFont="1" applyFill="1" applyBorder="1" applyProtection="1"/>
    <xf numFmtId="177" fontId="10" fillId="0" borderId="274" xfId="2" applyNumberFormat="1" applyFont="1" applyFill="1" applyBorder="1" applyProtection="1"/>
    <xf numFmtId="177" fontId="10" fillId="3" borderId="273" xfId="2" applyNumberFormat="1" applyFont="1" applyFill="1" applyBorder="1" applyProtection="1"/>
    <xf numFmtId="177" fontId="10" fillId="3" borderId="274" xfId="2" applyNumberFormat="1" applyFont="1" applyFill="1" applyBorder="1" applyProtection="1"/>
    <xf numFmtId="177" fontId="10" fillId="3" borderId="165" xfId="2" applyNumberFormat="1" applyFont="1" applyFill="1" applyBorder="1" applyAlignment="1" applyProtection="1">
      <alignment horizontal="center" vertical="center"/>
    </xf>
    <xf numFmtId="177" fontId="10" fillId="3" borderId="69" xfId="2" applyNumberFormat="1" applyFont="1" applyFill="1" applyBorder="1" applyAlignment="1" applyProtection="1">
      <alignment horizontal="center" vertical="center"/>
    </xf>
    <xf numFmtId="177" fontId="10" fillId="0" borderId="151" xfId="2" applyNumberFormat="1" applyFont="1" applyBorder="1" applyAlignment="1" applyProtection="1">
      <alignment horizontal="center" shrinkToFit="1"/>
    </xf>
    <xf numFmtId="177" fontId="10" fillId="0" borderId="7" xfId="2" applyNumberFormat="1" applyFont="1" applyBorder="1" applyAlignment="1" applyProtection="1">
      <alignment horizontal="center" shrinkToFit="1"/>
    </xf>
    <xf numFmtId="177" fontId="10" fillId="0" borderId="95" xfId="2" quotePrefix="1" applyNumberFormat="1" applyFont="1" applyBorder="1" applyAlignment="1" applyProtection="1">
      <alignment shrinkToFit="1"/>
    </xf>
    <xf numFmtId="177" fontId="10" fillId="0" borderId="58" xfId="2" quotePrefix="1" applyNumberFormat="1" applyFont="1" applyBorder="1" applyAlignment="1" applyProtection="1">
      <alignment shrinkToFit="1"/>
    </xf>
    <xf numFmtId="177" fontId="10" fillId="3" borderId="148" xfId="2" applyNumberFormat="1" applyFont="1" applyFill="1" applyBorder="1" applyAlignment="1" applyProtection="1">
      <alignment horizontal="distributed" vertical="center" justifyLastLine="1"/>
    </xf>
    <xf numFmtId="177" fontId="10" fillId="3" borderId="149" xfId="2" applyNumberFormat="1" applyFont="1" applyFill="1" applyBorder="1" applyAlignment="1" applyProtection="1">
      <alignment horizontal="distributed" vertical="center" justifyLastLine="1"/>
    </xf>
    <xf numFmtId="177" fontId="10" fillId="0" borderId="186" xfId="2" quotePrefix="1" applyNumberFormat="1" applyFont="1" applyBorder="1" applyAlignment="1" applyProtection="1">
      <alignment shrinkToFit="1"/>
    </xf>
    <xf numFmtId="177" fontId="10" fillId="0" borderId="61" xfId="2" quotePrefix="1" applyNumberFormat="1" applyFont="1" applyBorder="1" applyAlignment="1" applyProtection="1">
      <alignment shrinkToFit="1"/>
    </xf>
    <xf numFmtId="179" fontId="5" fillId="0" borderId="5" xfId="2" applyNumberFormat="1" applyFont="1" applyFill="1" applyBorder="1" applyAlignment="1" applyProtection="1">
      <alignment horizontal="center" shrinkToFit="1"/>
    </xf>
    <xf numFmtId="179" fontId="5" fillId="0" borderId="7" xfId="2" applyNumberFormat="1" applyFont="1" applyFill="1" applyBorder="1" applyAlignment="1" applyProtection="1">
      <alignment horizontal="center" shrinkToFit="1"/>
    </xf>
    <xf numFmtId="177" fontId="10" fillId="5" borderId="110" xfId="2" applyNumberFormat="1" applyFont="1" applyFill="1" applyBorder="1" applyAlignment="1" applyProtection="1">
      <alignment horizontal="center" shrinkToFit="1"/>
    </xf>
    <xf numFmtId="177" fontId="10" fillId="5" borderId="154" xfId="2" applyNumberFormat="1" applyFont="1" applyFill="1" applyBorder="1" applyAlignment="1" applyProtection="1">
      <alignment horizontal="center" shrinkToFit="1"/>
    </xf>
    <xf numFmtId="177" fontId="10" fillId="6" borderId="152" xfId="2" quotePrefix="1" applyNumberFormat="1" applyFont="1" applyFill="1" applyBorder="1" applyAlignment="1" applyProtection="1">
      <alignment shrinkToFit="1"/>
    </xf>
    <xf numFmtId="177" fontId="10" fillId="6" borderId="141" xfId="2" quotePrefix="1" applyNumberFormat="1" applyFont="1" applyFill="1" applyBorder="1" applyAlignment="1" applyProtection="1">
      <alignment shrinkToFit="1"/>
    </xf>
    <xf numFmtId="177" fontId="10" fillId="6" borderId="95" xfId="2" quotePrefix="1" applyNumberFormat="1" applyFont="1" applyFill="1" applyBorder="1" applyAlignment="1" applyProtection="1">
      <alignment shrinkToFit="1"/>
    </xf>
    <xf numFmtId="177" fontId="10" fillId="6" borderId="58" xfId="2" quotePrefix="1" applyNumberFormat="1" applyFont="1" applyFill="1" applyBorder="1" applyAlignment="1" applyProtection="1">
      <alignment shrinkToFit="1"/>
    </xf>
    <xf numFmtId="177" fontId="10" fillId="6" borderId="97" xfId="2" quotePrefix="1" applyNumberFormat="1" applyFont="1" applyFill="1" applyBorder="1" applyAlignment="1" applyProtection="1">
      <alignment shrinkToFit="1"/>
    </xf>
    <xf numFmtId="177" fontId="10" fillId="6" borderId="57" xfId="2" quotePrefix="1" applyNumberFormat="1" applyFont="1" applyFill="1" applyBorder="1" applyAlignment="1" applyProtection="1">
      <alignment shrinkToFit="1"/>
    </xf>
    <xf numFmtId="177" fontId="10" fillId="0" borderId="2" xfId="2" applyNumberFormat="1" applyFont="1" applyBorder="1" applyAlignment="1" applyProtection="1">
      <alignment horizontal="center"/>
    </xf>
    <xf numFmtId="177" fontId="10" fillId="0" borderId="250" xfId="2" applyNumberFormat="1" applyFont="1" applyBorder="1" applyAlignment="1" applyProtection="1">
      <alignment horizontal="center" shrinkToFit="1"/>
    </xf>
    <xf numFmtId="177" fontId="16" fillId="0" borderId="2" xfId="0" applyNumberFormat="1" applyFont="1" applyBorder="1" applyAlignment="1">
      <alignment horizontal="center"/>
    </xf>
    <xf numFmtId="177" fontId="16" fillId="0" borderId="148" xfId="0" applyNumberFormat="1" applyFont="1" applyBorder="1" applyAlignment="1">
      <alignment horizontal="center" vertical="center" justifyLastLine="1"/>
    </xf>
    <xf numFmtId="177" fontId="16" fillId="0" borderId="104" xfId="0" applyNumberFormat="1" applyFont="1" applyBorder="1" applyAlignment="1">
      <alignment horizontal="center" vertical="center" justifyLastLine="1"/>
    </xf>
    <xf numFmtId="177" fontId="16" fillId="0" borderId="174" xfId="0" applyNumberFormat="1" applyFont="1" applyBorder="1" applyAlignment="1">
      <alignment horizontal="center" vertical="center" justifyLastLine="1"/>
    </xf>
    <xf numFmtId="177" fontId="16" fillId="0" borderId="250" xfId="0" applyNumberFormat="1" applyFont="1" applyBorder="1" applyAlignment="1">
      <alignment horizontal="center" shrinkToFit="1"/>
    </xf>
    <xf numFmtId="177" fontId="10" fillId="0" borderId="49" xfId="5" applyNumberFormat="1" applyFont="1" applyBorder="1" applyAlignment="1">
      <alignment horizontal="center"/>
    </xf>
    <xf numFmtId="177" fontId="10" fillId="0" borderId="51" xfId="5" applyNumberFormat="1" applyFont="1" applyBorder="1" applyAlignment="1">
      <alignment horizontal="center"/>
    </xf>
    <xf numFmtId="177" fontId="10" fillId="0" borderId="5" xfId="5" applyNumberFormat="1" applyFont="1" applyBorder="1" applyAlignment="1">
      <alignment horizontal="center"/>
    </xf>
    <xf numFmtId="177" fontId="10" fillId="0" borderId="6" xfId="5" applyNumberFormat="1" applyFont="1" applyBorder="1" applyAlignment="1">
      <alignment horizontal="center"/>
    </xf>
    <xf numFmtId="177" fontId="10" fillId="0" borderId="7" xfId="5" applyNumberFormat="1" applyFont="1" applyBorder="1" applyAlignment="1">
      <alignment horizontal="center"/>
    </xf>
    <xf numFmtId="177" fontId="10" fillId="0" borderId="2" xfId="5" applyNumberFormat="1" applyFont="1" applyBorder="1" applyAlignment="1">
      <alignment horizontal="center"/>
    </xf>
    <xf numFmtId="177" fontId="10" fillId="0" borderId="41" xfId="5" applyNumberFormat="1" applyFont="1" applyBorder="1" applyAlignment="1">
      <alignment horizontal="distributed" vertical="center" justifyLastLine="1"/>
    </xf>
    <xf numFmtId="177" fontId="10" fillId="0" borderId="2" xfId="5" applyNumberFormat="1" applyFont="1" applyBorder="1" applyAlignment="1">
      <alignment horizontal="distributed" vertical="center" justifyLastLine="1"/>
    </xf>
    <xf numFmtId="177" fontId="10" fillId="0" borderId="50" xfId="5" applyNumberFormat="1" applyFont="1" applyBorder="1" applyAlignment="1">
      <alignment horizontal="center"/>
    </xf>
    <xf numFmtId="177" fontId="10" fillId="0" borderId="250" xfId="5" applyNumberFormat="1" applyFont="1" applyBorder="1" applyAlignment="1">
      <alignment horizontal="center" shrinkToFit="1"/>
    </xf>
    <xf numFmtId="177" fontId="41" fillId="3" borderId="112" xfId="0" applyNumberFormat="1" applyFont="1" applyFill="1" applyBorder="1"/>
    <xf numFmtId="177" fontId="41" fillId="3" borderId="80" xfId="0" applyNumberFormat="1" applyFont="1" applyFill="1" applyBorder="1"/>
    <xf numFmtId="177" fontId="41" fillId="0" borderId="14" xfId="0" applyNumberFormat="1" applyFont="1" applyBorder="1"/>
    <xf numFmtId="177" fontId="41" fillId="0" borderId="101" xfId="0" applyNumberFormat="1" applyFont="1" applyBorder="1"/>
    <xf numFmtId="177" fontId="41" fillId="0" borderId="33" xfId="0" applyNumberFormat="1" applyFont="1" applyBorder="1"/>
    <xf numFmtId="177" fontId="41" fillId="0" borderId="78" xfId="0" applyNumberFormat="1" applyFont="1" applyBorder="1"/>
    <xf numFmtId="177" fontId="41" fillId="0" borderId="2" xfId="0" applyNumberFormat="1" applyFont="1" applyBorder="1"/>
    <xf numFmtId="177" fontId="41" fillId="0" borderId="173" xfId="0" applyNumberFormat="1" applyFont="1" applyBorder="1"/>
    <xf numFmtId="177" fontId="41" fillId="0" borderId="161" xfId="0" applyNumberFormat="1" applyFont="1" applyBorder="1"/>
    <xf numFmtId="177" fontId="41" fillId="0" borderId="187" xfId="0" applyNumberFormat="1" applyFont="1" applyBorder="1"/>
    <xf numFmtId="177" fontId="41" fillId="0" borderId="17" xfId="0" applyNumberFormat="1" applyFont="1" applyBorder="1"/>
    <xf numFmtId="177" fontId="41" fillId="0" borderId="106" xfId="0" applyNumberFormat="1" applyFont="1" applyBorder="1"/>
    <xf numFmtId="177" fontId="41" fillId="7" borderId="161" xfId="0" applyNumberFormat="1" applyFont="1" applyFill="1" applyBorder="1"/>
    <xf numFmtId="177" fontId="41" fillId="7" borderId="187" xfId="0" applyNumberFormat="1" applyFont="1" applyFill="1" applyBorder="1"/>
    <xf numFmtId="177" fontId="41" fillId="0" borderId="0" xfId="0" applyNumberFormat="1" applyFont="1"/>
    <xf numFmtId="177" fontId="41" fillId="0" borderId="63" xfId="0" applyNumberFormat="1" applyFont="1" applyBorder="1"/>
    <xf numFmtId="177" fontId="41" fillId="0" borderId="257" xfId="0" applyNumberFormat="1" applyFont="1" applyBorder="1"/>
    <xf numFmtId="177" fontId="41" fillId="0" borderId="261" xfId="0" applyNumberFormat="1" applyFont="1" applyBorder="1"/>
    <xf numFmtId="177" fontId="41" fillId="2" borderId="4" xfId="0" applyNumberFormat="1" applyFont="1" applyFill="1" applyBorder="1" applyProtection="1">
      <protection locked="0"/>
    </xf>
    <xf numFmtId="177" fontId="41" fillId="2" borderId="177" xfId="0" applyNumberFormat="1" applyFont="1" applyFill="1" applyBorder="1" applyProtection="1">
      <protection locked="0"/>
    </xf>
    <xf numFmtId="177" fontId="41" fillId="2" borderId="162" xfId="0" applyNumberFormat="1" applyFont="1" applyFill="1" applyBorder="1" applyProtection="1">
      <protection locked="0"/>
    </xf>
    <xf numFmtId="177" fontId="41" fillId="2" borderId="163" xfId="0" applyNumberFormat="1" applyFont="1" applyFill="1" applyBorder="1" applyProtection="1">
      <protection locked="0"/>
    </xf>
    <xf numFmtId="177" fontId="41" fillId="2" borderId="58" xfId="0" applyNumberFormat="1" applyFont="1" applyFill="1" applyBorder="1" applyProtection="1">
      <protection locked="0"/>
    </xf>
    <xf numFmtId="177" fontId="41" fillId="2" borderId="76" xfId="0" applyNumberFormat="1" applyFont="1" applyFill="1" applyBorder="1" applyProtection="1">
      <protection locked="0"/>
    </xf>
    <xf numFmtId="176" fontId="41" fillId="0" borderId="0" xfId="0" applyNumberFormat="1" applyFont="1"/>
    <xf numFmtId="176" fontId="41" fillId="0" borderId="63" xfId="0" applyNumberFormat="1" applyFont="1" applyBorder="1"/>
    <xf numFmtId="176" fontId="41" fillId="0" borderId="3" xfId="0" applyNumberFormat="1" applyFont="1" applyBorder="1"/>
    <xf numFmtId="176" fontId="41" fillId="0" borderId="164" xfId="0" applyNumberFormat="1" applyFont="1" applyBorder="1"/>
    <xf numFmtId="0" fontId="2" fillId="6" borderId="146" xfId="0" applyFont="1" applyFill="1" applyBorder="1" applyAlignment="1">
      <alignment horizontal="center" vertical="center"/>
    </xf>
    <xf numFmtId="0" fontId="2" fillId="6" borderId="147" xfId="0" applyFont="1" applyFill="1" applyBorder="1" applyAlignment="1">
      <alignment horizontal="center" vertical="center"/>
    </xf>
    <xf numFmtId="177" fontId="41" fillId="0" borderId="50" xfId="0" applyNumberFormat="1" applyFont="1" applyBorder="1"/>
    <xf numFmtId="177" fontId="41" fillId="0" borderId="70" xfId="0" applyNumberFormat="1" applyFont="1" applyBorder="1"/>
    <xf numFmtId="0" fontId="28" fillId="6" borderId="158" xfId="0" applyFont="1" applyFill="1" applyBorder="1" applyAlignment="1">
      <alignment horizontal="center" vertical="center"/>
    </xf>
    <xf numFmtId="0" fontId="28" fillId="6" borderId="159" xfId="0" applyFont="1" applyFill="1" applyBorder="1" applyAlignment="1">
      <alignment horizontal="center" vertical="center"/>
    </xf>
    <xf numFmtId="177" fontId="41" fillId="0" borderId="56" xfId="0" applyNumberFormat="1" applyFont="1" applyBorder="1"/>
    <xf numFmtId="177" fontId="41" fillId="0" borderId="75" xfId="0" applyNumberFormat="1" applyFont="1" applyBorder="1"/>
    <xf numFmtId="177" fontId="41" fillId="0" borderId="58" xfId="0" applyNumberFormat="1" applyFont="1" applyBorder="1"/>
    <xf numFmtId="177" fontId="41" fillId="0" borderId="76" xfId="0" applyNumberFormat="1" applyFont="1" applyBorder="1"/>
    <xf numFmtId="177" fontId="41" fillId="0" borderId="162" xfId="0" applyNumberFormat="1" applyFont="1" applyBorder="1"/>
    <xf numFmtId="177" fontId="41" fillId="0" borderId="163" xfId="0" applyNumberFormat="1" applyFont="1" applyBorder="1"/>
    <xf numFmtId="177" fontId="41" fillId="2" borderId="59" xfId="0" applyNumberFormat="1" applyFont="1" applyFill="1" applyBorder="1" applyProtection="1">
      <protection locked="0"/>
    </xf>
    <xf numFmtId="177" fontId="41" fillId="2" borderId="77" xfId="0" applyNumberFormat="1" applyFont="1" applyFill="1" applyBorder="1" applyProtection="1">
      <protection locked="0"/>
    </xf>
    <xf numFmtId="177" fontId="41" fillId="3" borderId="113" xfId="0" applyNumberFormat="1" applyFont="1" applyFill="1" applyBorder="1"/>
    <xf numFmtId="177" fontId="41" fillId="3" borderId="176" xfId="0" applyNumberFormat="1" applyFont="1" applyFill="1" applyBorder="1"/>
    <xf numFmtId="177" fontId="41" fillId="3" borderId="143" xfId="0" applyNumberFormat="1" applyFont="1" applyFill="1" applyBorder="1"/>
    <xf numFmtId="177" fontId="41" fillId="0" borderId="95" xfId="0" applyNumberFormat="1" applyFont="1" applyBorder="1"/>
    <xf numFmtId="177" fontId="41" fillId="0" borderId="258" xfId="0" applyNumberFormat="1" applyFont="1" applyBorder="1"/>
    <xf numFmtId="177" fontId="41" fillId="0" borderId="259" xfId="0" applyNumberFormat="1" applyFont="1" applyBorder="1"/>
    <xf numFmtId="177" fontId="41" fillId="2" borderId="259" xfId="0" applyNumberFormat="1" applyFont="1" applyFill="1" applyBorder="1" applyProtection="1">
      <protection locked="0"/>
    </xf>
    <xf numFmtId="177" fontId="41" fillId="2" borderId="260" xfId="0" applyNumberFormat="1" applyFont="1" applyFill="1" applyBorder="1" applyProtection="1">
      <protection locked="0"/>
    </xf>
    <xf numFmtId="177" fontId="41" fillId="7" borderId="160" xfId="0" applyNumberFormat="1" applyFont="1" applyFill="1" applyBorder="1"/>
    <xf numFmtId="177" fontId="41" fillId="7" borderId="162" xfId="0" applyNumberFormat="1" applyFont="1" applyFill="1" applyBorder="1"/>
    <xf numFmtId="177" fontId="41" fillId="0" borderId="153" xfId="0" applyNumberFormat="1" applyFont="1" applyBorder="1"/>
    <xf numFmtId="177" fontId="41" fillId="0" borderId="3" xfId="0" applyNumberFormat="1" applyFont="1" applyBorder="1"/>
    <xf numFmtId="177" fontId="41" fillId="7" borderId="163" xfId="0" applyNumberFormat="1" applyFont="1" applyFill="1" applyBorder="1"/>
    <xf numFmtId="177" fontId="41" fillId="2" borderId="3" xfId="0" applyNumberFormat="1" applyFont="1" applyFill="1" applyBorder="1" applyProtection="1">
      <protection locked="0"/>
    </xf>
    <xf numFmtId="177" fontId="41" fillId="2" borderId="164" xfId="0" applyNumberFormat="1" applyFont="1" applyFill="1" applyBorder="1" applyProtection="1">
      <protection locked="0"/>
    </xf>
    <xf numFmtId="177" fontId="41" fillId="0" borderId="186" xfId="0" applyNumberFormat="1" applyFont="1" applyBorder="1"/>
    <xf numFmtId="177" fontId="41" fillId="0" borderId="61" xfId="0" applyNumberFormat="1" applyFont="1" applyBorder="1"/>
    <xf numFmtId="177" fontId="41" fillId="2" borderId="61" xfId="0" applyNumberFormat="1" applyFont="1" applyFill="1" applyBorder="1" applyProtection="1">
      <protection locked="0"/>
    </xf>
    <xf numFmtId="177" fontId="41" fillId="2" borderId="107" xfId="0" applyNumberFormat="1" applyFont="1" applyFill="1" applyBorder="1" applyProtection="1">
      <protection locked="0"/>
    </xf>
    <xf numFmtId="177" fontId="41" fillId="0" borderId="156" xfId="0" applyNumberFormat="1" applyFont="1" applyBorder="1"/>
    <xf numFmtId="177" fontId="41" fillId="0" borderId="4" xfId="0" applyNumberFormat="1" applyFont="1" applyBorder="1"/>
    <xf numFmtId="177" fontId="41" fillId="0" borderId="99" xfId="0" applyNumberFormat="1" applyFont="1" applyBorder="1"/>
    <xf numFmtId="177" fontId="41" fillId="0" borderId="59" xfId="0" applyNumberFormat="1" applyFont="1" applyBorder="1"/>
    <xf numFmtId="177" fontId="41" fillId="0" borderId="160" xfId="0" applyNumberFormat="1" applyFont="1" applyBorder="1"/>
    <xf numFmtId="176" fontId="41" fillId="0" borderId="153" xfId="0" applyNumberFormat="1" applyFont="1" applyBorder="1"/>
    <xf numFmtId="0" fontId="42" fillId="3" borderId="112" xfId="0" applyFont="1" applyFill="1" applyBorder="1" applyAlignment="1">
      <alignment horizontal="distributed" vertical="center"/>
    </xf>
    <xf numFmtId="0" fontId="42" fillId="0" borderId="0" xfId="0" applyFont="1" applyAlignment="1">
      <alignment horizontal="distributed" vertical="center"/>
    </xf>
    <xf numFmtId="0" fontId="42" fillId="0" borderId="257" xfId="0" applyFont="1" applyBorder="1" applyAlignment="1">
      <alignment horizontal="distributed" vertical="center"/>
    </xf>
    <xf numFmtId="0" fontId="42" fillId="0" borderId="14" xfId="0" applyFont="1" applyBorder="1" applyAlignment="1">
      <alignment horizontal="distributed" vertical="center"/>
    </xf>
    <xf numFmtId="0" fontId="42" fillId="7" borderId="161" xfId="0" applyFont="1" applyFill="1" applyBorder="1" applyAlignment="1">
      <alignment horizontal="distributed" vertical="center"/>
    </xf>
    <xf numFmtId="0" fontId="42" fillId="0" borderId="17" xfId="0" applyFont="1" applyBorder="1" applyAlignment="1">
      <alignment horizontal="distributed" vertical="center"/>
    </xf>
    <xf numFmtId="0" fontId="42" fillId="0" borderId="161" xfId="0" applyFont="1" applyBorder="1" applyAlignment="1">
      <alignment horizontal="distributed" vertical="center"/>
    </xf>
    <xf numFmtId="0" fontId="42" fillId="0" borderId="2" xfId="0" applyFont="1" applyBorder="1" applyAlignment="1">
      <alignment horizontal="distributed" vertical="center"/>
    </xf>
    <xf numFmtId="0" fontId="42" fillId="0" borderId="33" xfId="0" applyFont="1" applyBorder="1" applyAlignment="1">
      <alignment horizontal="distributed" vertical="center"/>
    </xf>
    <xf numFmtId="177" fontId="41" fillId="0" borderId="94" xfId="0" applyNumberFormat="1" applyFont="1" applyBorder="1"/>
    <xf numFmtId="177" fontId="2" fillId="0" borderId="56" xfId="0" applyNumberFormat="1" applyFont="1" applyBorder="1"/>
    <xf numFmtId="0" fontId="2" fillId="0" borderId="0" xfId="0" applyFont="1" applyAlignment="1">
      <alignment horizontal="center" shrinkToFit="1"/>
    </xf>
    <xf numFmtId="0" fontId="2" fillId="0" borderId="0" xfId="0" applyFont="1" applyAlignment="1">
      <alignment horizontal="center"/>
    </xf>
    <xf numFmtId="0" fontId="28" fillId="6" borderId="170" xfId="0" applyFont="1" applyFill="1" applyBorder="1" applyAlignment="1">
      <alignment horizontal="center" vertical="center"/>
    </xf>
    <xf numFmtId="0" fontId="42" fillId="0" borderId="50" xfId="0" applyFont="1" applyBorder="1" applyAlignment="1">
      <alignment horizontal="distributed" vertical="center"/>
    </xf>
    <xf numFmtId="177" fontId="2" fillId="0" borderId="151" xfId="5" applyNumberFormat="1" applyFont="1" applyBorder="1" applyAlignment="1">
      <alignment horizontal="center"/>
    </xf>
    <xf numFmtId="177" fontId="2" fillId="0" borderId="6" xfId="5" applyNumberFormat="1" applyFont="1" applyBorder="1" applyAlignment="1">
      <alignment horizontal="center"/>
    </xf>
    <xf numFmtId="177" fontId="2" fillId="0" borderId="7" xfId="5" applyNumberFormat="1" applyFont="1" applyBorder="1" applyAlignment="1">
      <alignment horizontal="center"/>
    </xf>
    <xf numFmtId="177" fontId="29" fillId="0" borderId="5" xfId="5" applyNumberFormat="1" applyFont="1" applyBorder="1" applyAlignment="1">
      <alignment horizontal="center"/>
    </xf>
    <xf numFmtId="177" fontId="29" fillId="0" borderId="6" xfId="5" applyNumberFormat="1" applyFont="1" applyBorder="1" applyAlignment="1">
      <alignment horizontal="center"/>
    </xf>
    <xf numFmtId="177" fontId="29" fillId="0" borderId="7" xfId="5" applyNumberFormat="1" applyFont="1" applyBorder="1" applyAlignment="1">
      <alignment horizontal="center"/>
    </xf>
    <xf numFmtId="177" fontId="29" fillId="0" borderId="49" xfId="5" applyNumberFormat="1" applyFont="1" applyBorder="1" applyAlignment="1">
      <alignment horizontal="center"/>
    </xf>
    <xf numFmtId="177" fontId="29" fillId="0" borderId="50" xfId="5" applyNumberFormat="1" applyFont="1" applyBorder="1" applyAlignment="1">
      <alignment horizontal="center"/>
    </xf>
    <xf numFmtId="177" fontId="29" fillId="0" borderId="51" xfId="5" applyNumberFormat="1" applyFont="1" applyBorder="1" applyAlignment="1">
      <alignment horizontal="center"/>
    </xf>
    <xf numFmtId="182" fontId="10" fillId="10" borderId="0" xfId="5" applyNumberFormat="1" applyFont="1" applyFill="1" applyAlignment="1">
      <alignment horizontal="center"/>
    </xf>
    <xf numFmtId="177" fontId="10" fillId="0" borderId="141" xfId="5" applyNumberFormat="1" applyFont="1" applyBorder="1" applyAlignment="1">
      <alignment horizontal="center" vertical="center"/>
    </xf>
    <xf numFmtId="177" fontId="10" fillId="0" borderId="4" xfId="5" applyNumberFormat="1" applyFont="1" applyBorder="1" applyAlignment="1">
      <alignment horizontal="center" vertical="center"/>
    </xf>
    <xf numFmtId="177" fontId="10" fillId="0" borderId="21" xfId="5" applyNumberFormat="1" applyFont="1" applyBorder="1" applyAlignment="1">
      <alignment horizontal="center" vertical="center"/>
    </xf>
    <xf numFmtId="177" fontId="10" fillId="0" borderId="22" xfId="5" applyNumberFormat="1" applyFont="1" applyBorder="1" applyAlignment="1">
      <alignment horizontal="center" vertical="center"/>
    </xf>
    <xf numFmtId="177" fontId="10" fillId="0" borderId="192" xfId="5" applyNumberFormat="1" applyFont="1" applyBorder="1" applyAlignment="1">
      <alignment horizontal="center" vertical="center"/>
    </xf>
    <xf numFmtId="177" fontId="10" fillId="0" borderId="193" xfId="5" applyNumberFormat="1" applyFont="1" applyBorder="1" applyAlignment="1">
      <alignment horizontal="center" vertical="center"/>
    </xf>
    <xf numFmtId="177" fontId="36" fillId="0" borderId="250" xfId="5" applyNumberFormat="1" applyFont="1" applyBorder="1" applyAlignment="1">
      <alignment horizontal="center" shrinkToFit="1"/>
    </xf>
    <xf numFmtId="0" fontId="16" fillId="0" borderId="197" xfId="10" applyFont="1" applyBorder="1" applyAlignment="1">
      <alignment horizontal="center" vertical="center"/>
    </xf>
    <xf numFmtId="0" fontId="16" fillId="0" borderId="198" xfId="10" applyFont="1" applyBorder="1" applyAlignment="1">
      <alignment horizontal="center" vertical="center"/>
    </xf>
    <xf numFmtId="0" fontId="16" fillId="0" borderId="199" xfId="10" applyFont="1" applyBorder="1" applyAlignment="1">
      <alignment horizontal="center" vertical="center"/>
    </xf>
    <xf numFmtId="0" fontId="16" fillId="6" borderId="197" xfId="10" applyFont="1" applyFill="1" applyBorder="1" applyAlignment="1">
      <alignment horizontal="center" vertical="center"/>
    </xf>
    <xf numFmtId="0" fontId="16" fillId="6" borderId="198" xfId="10" applyFont="1" applyFill="1" applyBorder="1" applyAlignment="1">
      <alignment horizontal="center" vertical="center"/>
    </xf>
    <xf numFmtId="0" fontId="16" fillId="6" borderId="199" xfId="10" applyFont="1" applyFill="1" applyBorder="1" applyAlignment="1">
      <alignment horizontal="center" vertical="center"/>
    </xf>
    <xf numFmtId="0" fontId="16" fillId="6" borderId="204" xfId="10" applyFont="1" applyFill="1" applyBorder="1" applyAlignment="1">
      <alignment horizontal="center" vertical="center"/>
    </xf>
    <xf numFmtId="0" fontId="16" fillId="6" borderId="196" xfId="10" applyFont="1" applyFill="1" applyBorder="1" applyAlignment="1">
      <alignment horizontal="center" vertical="center"/>
    </xf>
    <xf numFmtId="0" fontId="16" fillId="6" borderId="205" xfId="10" applyFont="1" applyFill="1" applyBorder="1" applyAlignment="1">
      <alignment horizontal="center" vertical="center"/>
    </xf>
    <xf numFmtId="183" fontId="16" fillId="6" borderId="200" xfId="10" applyNumberFormat="1" applyFont="1" applyFill="1" applyBorder="1" applyAlignment="1">
      <alignment horizontal="center"/>
    </xf>
    <xf numFmtId="183" fontId="16" fillId="6" borderId="201" xfId="10" applyNumberFormat="1" applyFont="1" applyFill="1" applyBorder="1" applyAlignment="1">
      <alignment horizontal="center"/>
    </xf>
    <xf numFmtId="0" fontId="16" fillId="6" borderId="202" xfId="10" applyFont="1" applyFill="1" applyBorder="1" applyAlignment="1">
      <alignment horizontal="center"/>
    </xf>
    <xf numFmtId="0" fontId="16" fillId="6" borderId="203" xfId="10" applyFont="1" applyFill="1" applyBorder="1" applyAlignment="1">
      <alignment horizontal="center"/>
    </xf>
    <xf numFmtId="0" fontId="29" fillId="0" borderId="0" xfId="12" applyAlignment="1">
      <alignment horizontal="left" shrinkToFit="1"/>
    </xf>
    <xf numFmtId="0" fontId="29" fillId="0" borderId="24" xfId="12" applyBorder="1" applyAlignment="1">
      <alignment horizontal="left" shrinkToFit="1"/>
    </xf>
  </cellXfs>
  <cellStyles count="15">
    <cellStyle name="パーセント" xfId="1" builtinId="5"/>
    <cellStyle name="パーセント 2" xfId="6" xr:uid="{689F99F3-1D24-486C-AF65-5D342FA3478D}"/>
    <cellStyle name="パーセント 2 2" xfId="9" xr:uid="{2EA8C0B6-DF61-4206-934F-0EAAAEDDF9D0}"/>
    <cellStyle name="桁区切り" xfId="2" builtinId="6"/>
    <cellStyle name="桁区切り 2 2" xfId="8" xr:uid="{3F15BF7B-C965-4163-9AB3-CCDE64F257ED}"/>
    <cellStyle name="桁区切り 3" xfId="13" xr:uid="{E5A301EC-45C6-4144-A6BF-3AFD358E014F}"/>
    <cellStyle name="標準" xfId="0" builtinId="0"/>
    <cellStyle name="標準 2" xfId="7" xr:uid="{0ED43A4D-BABC-4CC4-91D4-407476651F8B}"/>
    <cellStyle name="標準 2 2" xfId="11" xr:uid="{6E2C31E4-A995-414D-87DC-399512384BED}"/>
    <cellStyle name="標準 3" xfId="12" xr:uid="{E6F5E5D8-BF40-49CE-9A47-0252C30F101D}"/>
    <cellStyle name="標準 4" xfId="14" xr:uid="{6238EE4E-55F1-481E-8FD3-655A38096E2D}"/>
    <cellStyle name="標準_営業予算入力表" xfId="3" xr:uid="{1C95AF7F-8660-4943-936C-DB700D0C3CEB}"/>
    <cellStyle name="標準_雑収入雑損失ｼｰﾄ" xfId="10" xr:uid="{E81F04BF-ABDF-4F75-8823-8FEC490C20EF}"/>
    <cellStyle name="標準_資収支上" xfId="4" xr:uid="{9434343F-3BB9-42DA-8265-0FF5F25B4B26}"/>
    <cellStyle name="標準_予算表temp" xfId="5" xr:uid="{88705386-200A-46DE-A436-CA0FD65A8581}"/>
  </cellStyles>
  <dxfs count="3">
    <dxf>
      <fill>
        <patternFill>
          <bgColor theme="0" tint="-0.24994659260841701"/>
        </patternFill>
      </fill>
    </dxf>
    <dxf>
      <fill>
        <patternFill>
          <bgColor theme="0" tint="-0.24994659260841701"/>
        </patternFill>
      </fill>
    </dxf>
    <dxf>
      <fill>
        <patternFill>
          <bgColor theme="0"/>
        </patternFill>
      </fill>
    </dxf>
  </dxfs>
  <tableStyles count="0" defaultTableStyle="TableStyleMedium9" defaultPivotStyle="PivotStyleLight16"/>
  <colors>
    <mruColors>
      <color rgb="FFFFFF99"/>
      <color rgb="FFFFFFCC"/>
      <color rgb="FFCCFF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45720</xdr:rowOff>
        </xdr:from>
        <xdr:to>
          <xdr:col>3</xdr:col>
          <xdr:colOff>30480</xdr:colOff>
          <xdr:row>0</xdr:row>
          <xdr:rowOff>289560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1" i="0" u="none" strike="noStrike" baseline="0">
                  <a:solidFill>
                    <a:srgbClr val="000000"/>
                  </a:solidFill>
                  <a:latin typeface="ＭＳ Ｐゴシック"/>
                  <a:ea typeface="ＭＳ Ｐゴシック"/>
                </a:rPr>
                <a:t>データ登録</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0</xdr:row>
          <xdr:rowOff>68580</xdr:rowOff>
        </xdr:from>
        <xdr:to>
          <xdr:col>2</xdr:col>
          <xdr:colOff>213360</xdr:colOff>
          <xdr:row>0</xdr:row>
          <xdr:rowOff>312420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1" i="0" u="none" strike="noStrike" baseline="0">
                  <a:solidFill>
                    <a:srgbClr val="000000"/>
                  </a:solidFill>
                  <a:latin typeface="ＭＳ Ｐゴシック"/>
                  <a:ea typeface="ＭＳ Ｐゴシック"/>
                </a:rPr>
                <a:t>実績値取得</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11.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8150C-2975-47C9-9C9D-2746CB6D681F}">
  <sheetPr codeName="Sheet1"/>
  <dimension ref="B1:U202"/>
  <sheetViews>
    <sheetView showGridLines="0" tabSelected="1" view="pageBreakPreview" zoomScale="115" zoomScaleNormal="115" zoomScaleSheetLayoutView="115" workbookViewId="0">
      <pane ySplit="1" topLeftCell="A61" activePane="bottomLeft" state="frozen"/>
      <selection pane="bottomLeft"/>
    </sheetView>
  </sheetViews>
  <sheetFormatPr defaultColWidth="9" defaultRowHeight="13.2"/>
  <cols>
    <col min="1" max="1" width="0.88671875" style="202" customWidth="1"/>
    <col min="2" max="2" width="5.6640625" style="202" customWidth="1"/>
    <col min="3" max="4" width="11.88671875" style="202" customWidth="1"/>
    <col min="5" max="7" width="11.6640625" style="202" customWidth="1"/>
    <col min="8" max="13" width="10.6640625" style="202" customWidth="1"/>
    <col min="14" max="16384" width="9" style="202"/>
  </cols>
  <sheetData>
    <row r="1" spans="2:16" ht="25.2" customHeight="1">
      <c r="D1" s="204"/>
      <c r="E1" s="205"/>
      <c r="L1" s="111"/>
    </row>
    <row r="2" spans="2:16" s="203" customFormat="1" ht="18.75" customHeight="1">
      <c r="B2" s="104" t="s">
        <v>152</v>
      </c>
      <c r="D2" s="204" t="str">
        <f>"第"&amp;基本情報!C11&amp;"期"</f>
        <v>第期</v>
      </c>
      <c r="E2" s="205" t="e">
        <f>IF(基本情報!D13=4,"上半期","下半期")</f>
        <v>#VALUE!</v>
      </c>
      <c r="F2" s="206" t="e">
        <f>LEFT(基本情報!C13,4) &amp; "年" &amp; MID(基本情報!C13,5,2) &amp; "月～" &amp; LEFT(基本情報!C18,4) &amp; "年" &amp; MID(基本情報!C18,5,2) &amp; "月"</f>
        <v>#VALUE!</v>
      </c>
      <c r="K2" s="739"/>
    </row>
    <row r="3" spans="2:16" s="3" customFormat="1" ht="15" customHeight="1" thickBot="1">
      <c r="C3" s="89" t="s">
        <v>99</v>
      </c>
      <c r="D3" s="818">
        <f>基本情報!C4</f>
        <v>0</v>
      </c>
      <c r="E3" s="819"/>
      <c r="F3" s="818">
        <f>基本情報!C6</f>
        <v>0</v>
      </c>
      <c r="G3" s="819"/>
      <c r="H3" s="818" t="str">
        <f>基本情報!C8&amp;"・"&amp;基本情報!C7</f>
        <v>・</v>
      </c>
      <c r="I3" s="819"/>
      <c r="J3" s="202"/>
      <c r="K3" s="210"/>
      <c r="L3" s="210"/>
      <c r="M3" s="210" t="s">
        <v>303</v>
      </c>
    </row>
    <row r="4" spans="2:16" s="3" customFormat="1" ht="15" customHeight="1" thickBot="1">
      <c r="D4" s="7"/>
      <c r="F4" s="51"/>
      <c r="G4" s="51"/>
      <c r="I4" s="33" t="s">
        <v>63</v>
      </c>
      <c r="J4" s="33"/>
      <c r="K4" s="50" t="s">
        <v>62</v>
      </c>
      <c r="L4" s="207" t="s">
        <v>9</v>
      </c>
      <c r="M4" s="210"/>
      <c r="N4" s="208"/>
      <c r="O4" s="51"/>
      <c r="P4" s="51"/>
    </row>
    <row r="5" spans="2:16" s="208" customFormat="1" ht="15" customHeight="1" thickBot="1">
      <c r="B5" s="747" t="s">
        <v>0</v>
      </c>
      <c r="C5" s="748" t="s">
        <v>1</v>
      </c>
      <c r="D5" s="749" t="s">
        <v>2</v>
      </c>
      <c r="E5" s="749" t="s">
        <v>3</v>
      </c>
      <c r="F5" s="749" t="s">
        <v>148</v>
      </c>
      <c r="G5" s="749" t="s">
        <v>4</v>
      </c>
      <c r="H5" s="749" t="s">
        <v>5</v>
      </c>
      <c r="I5" s="751" t="s">
        <v>302</v>
      </c>
      <c r="J5" s="752" t="s">
        <v>64</v>
      </c>
      <c r="K5" s="3">
        <v>1</v>
      </c>
      <c r="L5" s="262"/>
      <c r="N5" s="210"/>
    </row>
    <row r="6" spans="2:16" s="210" customFormat="1" ht="15" customHeight="1" thickBot="1">
      <c r="B6" s="753" t="str">
        <f>DBCS(基本情報!D12)&amp;"月"</f>
        <v>－１月</v>
      </c>
      <c r="C6" s="786"/>
      <c r="D6" s="785"/>
      <c r="E6" s="782">
        <f>L14</f>
        <v>0</v>
      </c>
      <c r="F6" s="784"/>
      <c r="G6" s="786"/>
      <c r="H6" s="786"/>
      <c r="I6" s="745"/>
      <c r="J6" s="754"/>
      <c r="K6" s="209">
        <v>2</v>
      </c>
      <c r="L6" s="261"/>
    </row>
    <row r="7" spans="2:16" s="210" customFormat="1" ht="15" customHeight="1">
      <c r="B7" s="755" t="e">
        <f>DBCS(基本情報!D13)&amp;"月"</f>
        <v>#VALUE!</v>
      </c>
      <c r="C7" s="211">
        <f t="shared" ref="C7:C12" si="0">D7+E7-E6-G7-H7</f>
        <v>0</v>
      </c>
      <c r="D7" s="100"/>
      <c r="E7" s="101"/>
      <c r="F7" s="212">
        <f t="shared" ref="F7:F12" si="1">SUM(G7:H7)</f>
        <v>0</v>
      </c>
      <c r="G7" s="777">
        <f>Ｂ!G18</f>
        <v>0</v>
      </c>
      <c r="H7" s="783"/>
      <c r="I7" s="774">
        <f>IF(ISERR(H7/D7),0,(H7/D7))</f>
        <v>0</v>
      </c>
      <c r="J7" s="742"/>
      <c r="K7" s="209">
        <v>3</v>
      </c>
      <c r="L7" s="261"/>
    </row>
    <row r="8" spans="2:16" s="210" customFormat="1" ht="15" customHeight="1">
      <c r="B8" s="756" t="str">
        <f>DBCS(基本情報!D14)&amp;"月"</f>
        <v>１月</v>
      </c>
      <c r="C8" s="213">
        <f t="shared" si="0"/>
        <v>0</v>
      </c>
      <c r="D8" s="100"/>
      <c r="E8" s="101"/>
      <c r="F8" s="214">
        <f t="shared" si="1"/>
        <v>0</v>
      </c>
      <c r="G8" s="777">
        <f>Ｂ!I18</f>
        <v>0</v>
      </c>
      <c r="H8" s="740"/>
      <c r="I8" s="774">
        <f t="shared" ref="I8:I12" si="2">IF(ISERR(H8/D8),0,(H8/D8))</f>
        <v>0</v>
      </c>
      <c r="J8" s="743"/>
      <c r="K8" s="209">
        <v>4</v>
      </c>
      <c r="L8" s="261"/>
    </row>
    <row r="9" spans="2:16" s="210" customFormat="1" ht="15" customHeight="1">
      <c r="B9" s="755" t="str">
        <f>DBCS(基本情報!D15)&amp;"月"</f>
        <v>２月</v>
      </c>
      <c r="C9" s="213">
        <f t="shared" si="0"/>
        <v>0</v>
      </c>
      <c r="D9" s="100"/>
      <c r="E9" s="101"/>
      <c r="F9" s="214">
        <f t="shared" si="1"/>
        <v>0</v>
      </c>
      <c r="G9" s="777">
        <f>Ｂ!K18</f>
        <v>0</v>
      </c>
      <c r="H9" s="740"/>
      <c r="I9" s="774">
        <f t="shared" si="2"/>
        <v>0</v>
      </c>
      <c r="J9" s="743"/>
      <c r="K9" s="209">
        <v>5</v>
      </c>
      <c r="L9" s="261"/>
    </row>
    <row r="10" spans="2:16" s="210" customFormat="1" ht="15" customHeight="1">
      <c r="B10" s="756" t="e">
        <f>DBCS(基本情報!D16)&amp;"月"</f>
        <v>#VALUE!</v>
      </c>
      <c r="C10" s="213">
        <f t="shared" si="0"/>
        <v>0</v>
      </c>
      <c r="D10" s="100"/>
      <c r="E10" s="101"/>
      <c r="F10" s="214">
        <f t="shared" si="1"/>
        <v>0</v>
      </c>
      <c r="G10" s="777">
        <f>Ｂ!M18</f>
        <v>0</v>
      </c>
      <c r="H10" s="740"/>
      <c r="I10" s="774">
        <f t="shared" si="2"/>
        <v>0</v>
      </c>
      <c r="J10" s="743"/>
      <c r="K10" s="209">
        <v>6</v>
      </c>
      <c r="L10" s="261"/>
    </row>
    <row r="11" spans="2:16" s="210" customFormat="1" ht="15" customHeight="1">
      <c r="B11" s="755" t="e">
        <f>DBCS(基本情報!D17)&amp;"月"</f>
        <v>#VALUE!</v>
      </c>
      <c r="C11" s="213">
        <f t="shared" si="0"/>
        <v>0</v>
      </c>
      <c r="D11" s="100"/>
      <c r="E11" s="101"/>
      <c r="F11" s="214">
        <f t="shared" si="1"/>
        <v>0</v>
      </c>
      <c r="G11" s="777">
        <f>Ｂ!O18</f>
        <v>0</v>
      </c>
      <c r="H11" s="740"/>
      <c r="I11" s="774">
        <f t="shared" si="2"/>
        <v>0</v>
      </c>
      <c r="J11" s="743"/>
      <c r="K11" s="209">
        <v>7</v>
      </c>
      <c r="L11" s="261"/>
    </row>
    <row r="12" spans="2:16" s="210" customFormat="1" ht="15" customHeight="1" thickBot="1">
      <c r="B12" s="757" t="e">
        <f>DBCS(基本情報!D18)&amp;"月"</f>
        <v>#VALUE!</v>
      </c>
      <c r="C12" s="215">
        <f t="shared" si="0"/>
        <v>0</v>
      </c>
      <c r="D12" s="102"/>
      <c r="E12" s="103"/>
      <c r="F12" s="216">
        <f t="shared" si="1"/>
        <v>0</v>
      </c>
      <c r="G12" s="778">
        <f>Ｂ!Q18</f>
        <v>0</v>
      </c>
      <c r="H12" s="741"/>
      <c r="I12" s="775">
        <f t="shared" si="2"/>
        <v>0</v>
      </c>
      <c r="J12" s="744"/>
      <c r="K12" s="209">
        <v>8</v>
      </c>
      <c r="L12" s="261"/>
    </row>
    <row r="13" spans="2:16" s="210" customFormat="1" ht="15" customHeight="1" thickBot="1">
      <c r="B13" s="758" t="s">
        <v>149</v>
      </c>
      <c r="C13" s="759">
        <f>SUM(C7:C12)</f>
        <v>0</v>
      </c>
      <c r="D13" s="760">
        <f>SUM(D7:D12)</f>
        <v>0</v>
      </c>
      <c r="E13" s="760">
        <f>E12</f>
        <v>0</v>
      </c>
      <c r="F13" s="760">
        <f>SUM(F7:F12)</f>
        <v>0</v>
      </c>
      <c r="G13" s="760">
        <f>SUM(G7:G12)</f>
        <v>0</v>
      </c>
      <c r="H13" s="760">
        <f>SUM(H7:H12)</f>
        <v>0</v>
      </c>
      <c r="I13" s="776">
        <f>IF(ISERR(H13/D13),0,(H13/D13))</f>
        <v>0</v>
      </c>
      <c r="J13" s="761">
        <f>SUM(J7:J12)</f>
        <v>0</v>
      </c>
      <c r="K13" s="209">
        <v>9</v>
      </c>
      <c r="L13" s="261"/>
      <c r="N13" s="53"/>
    </row>
    <row r="14" spans="2:16" s="208" customFormat="1" ht="15" customHeight="1">
      <c r="B14" s="708" t="s">
        <v>154</v>
      </c>
      <c r="C14" s="713" t="s">
        <v>304</v>
      </c>
      <c r="D14" s="709"/>
      <c r="E14" s="709"/>
      <c r="F14" s="710"/>
      <c r="G14" s="709"/>
      <c r="H14" s="710"/>
      <c r="I14" s="711"/>
      <c r="J14" s="711" t="s">
        <v>66</v>
      </c>
      <c r="K14" s="217" t="s">
        <v>65</v>
      </c>
      <c r="L14" s="218">
        <f>SUM(L5:L13)</f>
        <v>0</v>
      </c>
      <c r="M14" s="53"/>
      <c r="N14" s="53"/>
      <c r="O14" s="53"/>
    </row>
    <row r="15" spans="2:16" s="208" customFormat="1" ht="15" customHeight="1" thickBot="1">
      <c r="B15" s="712"/>
      <c r="C15" s="713" t="s">
        <v>153</v>
      </c>
      <c r="D15" s="709"/>
      <c r="E15" s="709"/>
      <c r="F15" s="710"/>
      <c r="G15" s="709"/>
      <c r="H15" s="710"/>
      <c r="I15" s="709"/>
      <c r="J15" s="709"/>
      <c r="K15" s="217" t="s">
        <v>67</v>
      </c>
      <c r="L15" s="219">
        <f>E6-L14</f>
        <v>0</v>
      </c>
      <c r="M15" s="53"/>
      <c r="O15" s="53"/>
    </row>
    <row r="16" spans="2:16" s="208" customFormat="1" ht="15" customHeight="1" thickBot="1">
      <c r="B16" s="55"/>
      <c r="C16" s="55"/>
      <c r="D16" s="55"/>
      <c r="E16" s="55"/>
      <c r="F16" s="55"/>
      <c r="G16" s="55"/>
      <c r="H16" s="55"/>
      <c r="I16" s="55"/>
      <c r="J16" s="54"/>
    </row>
    <row r="17" spans="2:21" s="208" customFormat="1" ht="15" customHeight="1">
      <c r="B17" s="747" t="s">
        <v>0</v>
      </c>
      <c r="C17" s="762" t="s">
        <v>8</v>
      </c>
      <c r="D17" s="750" t="s">
        <v>68</v>
      </c>
      <c r="E17" s="763" t="s">
        <v>7</v>
      </c>
      <c r="F17" s="764" t="s">
        <v>6</v>
      </c>
      <c r="G17" s="750" t="s">
        <v>141</v>
      </c>
      <c r="H17" s="750" t="s">
        <v>69</v>
      </c>
      <c r="I17" s="750" t="s">
        <v>134</v>
      </c>
      <c r="J17" s="751" t="s">
        <v>70</v>
      </c>
      <c r="K17" s="752" t="s">
        <v>299</v>
      </c>
      <c r="L17" s="664"/>
    </row>
    <row r="18" spans="2:21" s="210" customFormat="1" ht="15" customHeight="1" thickBot="1">
      <c r="B18" s="765" t="str">
        <f>DBCS(基本情報!D12)&amp;"月"</f>
        <v>－１月</v>
      </c>
      <c r="C18" s="96"/>
      <c r="D18" s="97"/>
      <c r="E18" s="98"/>
      <c r="F18" s="99"/>
      <c r="G18" s="665"/>
      <c r="H18" s="97"/>
      <c r="I18" s="97"/>
      <c r="J18" s="663"/>
      <c r="K18" s="766"/>
      <c r="L18" s="664"/>
      <c r="M18" s="208"/>
    </row>
    <row r="19" spans="2:21" s="210" customFormat="1" ht="15" customHeight="1">
      <c r="B19" s="767" t="e">
        <f>DBCS(基本情報!D13)&amp;"月"</f>
        <v>#VALUE!</v>
      </c>
      <c r="C19" s="779">
        <f>'Ｃ'!F50</f>
        <v>0</v>
      </c>
      <c r="D19" s="793">
        <f>'Ｃ１'!B10</f>
        <v>0</v>
      </c>
      <c r="E19" s="799">
        <f>ROUND(非_D!I9,0)</f>
        <v>0</v>
      </c>
      <c r="F19" s="796"/>
      <c r="G19" s="666">
        <f t="shared" ref="G19:G24" si="3">H7-C19-D19-E19+F19</f>
        <v>0</v>
      </c>
      <c r="H19" s="668">
        <f>'Ｃ１'!C16</f>
        <v>0</v>
      </c>
      <c r="I19" s="791">
        <f t="shared" ref="I19:I24" si="4">G19-H19</f>
        <v>0</v>
      </c>
      <c r="J19" s="671"/>
      <c r="K19" s="768">
        <f>SUM(I19:J19)</f>
        <v>0</v>
      </c>
      <c r="L19" s="664"/>
      <c r="M19" s="209"/>
      <c r="N19" s="209"/>
      <c r="R19" s="209"/>
      <c r="S19" s="209"/>
      <c r="T19" s="209"/>
      <c r="U19" s="209"/>
    </row>
    <row r="20" spans="2:21" s="210" customFormat="1" ht="15" customHeight="1">
      <c r="B20" s="756" t="str">
        <f>DBCS(基本情報!D14)&amp;"月"</f>
        <v>１月</v>
      </c>
      <c r="C20" s="780">
        <f>'Ｃ'!H50</f>
        <v>0</v>
      </c>
      <c r="D20" s="794">
        <f>D19</f>
        <v>0</v>
      </c>
      <c r="E20" s="800">
        <f>ROUND(非_D!I10,0)</f>
        <v>0</v>
      </c>
      <c r="F20" s="797"/>
      <c r="G20" s="666">
        <f t="shared" si="3"/>
        <v>0</v>
      </c>
      <c r="H20" s="669">
        <f>H19</f>
        <v>0</v>
      </c>
      <c r="I20" s="791">
        <f t="shared" si="4"/>
        <v>0</v>
      </c>
      <c r="J20" s="672"/>
      <c r="K20" s="768">
        <f t="shared" ref="K20:K24" si="5">SUM(I20:J20)</f>
        <v>0</v>
      </c>
      <c r="L20" s="664"/>
      <c r="M20" s="208"/>
    </row>
    <row r="21" spans="2:21" s="210" customFormat="1" ht="15" customHeight="1">
      <c r="B21" s="755" t="str">
        <f>DBCS(基本情報!D15)&amp;"月"</f>
        <v>２月</v>
      </c>
      <c r="C21" s="780">
        <f>'Ｃ'!J50</f>
        <v>0</v>
      </c>
      <c r="D21" s="794">
        <f>D20</f>
        <v>0</v>
      </c>
      <c r="E21" s="800">
        <f>ROUND(非_D!I11,0)</f>
        <v>0</v>
      </c>
      <c r="F21" s="797"/>
      <c r="G21" s="666">
        <f t="shared" si="3"/>
        <v>0</v>
      </c>
      <c r="H21" s="669">
        <f>H20</f>
        <v>0</v>
      </c>
      <c r="I21" s="791">
        <f t="shared" si="4"/>
        <v>0</v>
      </c>
      <c r="J21" s="672"/>
      <c r="K21" s="768">
        <f t="shared" si="5"/>
        <v>0</v>
      </c>
      <c r="L21" s="664"/>
      <c r="M21" s="208"/>
    </row>
    <row r="22" spans="2:21" s="210" customFormat="1" ht="15" customHeight="1">
      <c r="B22" s="756" t="e">
        <f>DBCS(基本情報!D16)&amp;"月"</f>
        <v>#VALUE!</v>
      </c>
      <c r="C22" s="780">
        <f>'Ｃ'!L50</f>
        <v>0</v>
      </c>
      <c r="D22" s="794">
        <f>D21</f>
        <v>0</v>
      </c>
      <c r="E22" s="800">
        <f>ROUND(非_D!I12,0)</f>
        <v>0</v>
      </c>
      <c r="F22" s="797"/>
      <c r="G22" s="666">
        <f t="shared" si="3"/>
        <v>0</v>
      </c>
      <c r="H22" s="669">
        <f>H21</f>
        <v>0</v>
      </c>
      <c r="I22" s="791">
        <f t="shared" si="4"/>
        <v>0</v>
      </c>
      <c r="J22" s="672"/>
      <c r="K22" s="768">
        <f t="shared" si="5"/>
        <v>0</v>
      </c>
      <c r="L22" s="664"/>
      <c r="M22" s="208"/>
    </row>
    <row r="23" spans="2:21" s="210" customFormat="1" ht="15" customHeight="1">
      <c r="B23" s="755" t="e">
        <f>DBCS(基本情報!D17)&amp;"月"</f>
        <v>#VALUE!</v>
      </c>
      <c r="C23" s="780">
        <f>'Ｃ'!N50</f>
        <v>0</v>
      </c>
      <c r="D23" s="794">
        <f>D22</f>
        <v>0</v>
      </c>
      <c r="E23" s="800">
        <f>ROUND(非_D!I13,0)</f>
        <v>0</v>
      </c>
      <c r="F23" s="797"/>
      <c r="G23" s="666">
        <f t="shared" si="3"/>
        <v>0</v>
      </c>
      <c r="H23" s="669">
        <f>H22</f>
        <v>0</v>
      </c>
      <c r="I23" s="791">
        <f t="shared" si="4"/>
        <v>0</v>
      </c>
      <c r="J23" s="672"/>
      <c r="K23" s="768">
        <f t="shared" si="5"/>
        <v>0</v>
      </c>
      <c r="L23" s="664"/>
      <c r="M23" s="208"/>
    </row>
    <row r="24" spans="2:21" s="210" customFormat="1" ht="15" customHeight="1" thickBot="1">
      <c r="B24" s="756" t="e">
        <f>DBCS(基本情報!D18)&amp;"月"</f>
        <v>#VALUE!</v>
      </c>
      <c r="C24" s="781">
        <f>'Ｃ'!P50</f>
        <v>0</v>
      </c>
      <c r="D24" s="795">
        <f>D23</f>
        <v>0</v>
      </c>
      <c r="E24" s="801">
        <f>ROUND(非_D!I14,0)</f>
        <v>0</v>
      </c>
      <c r="F24" s="798"/>
      <c r="G24" s="667">
        <f t="shared" si="3"/>
        <v>0</v>
      </c>
      <c r="H24" s="670">
        <f>H23</f>
        <v>0</v>
      </c>
      <c r="I24" s="791">
        <f t="shared" si="4"/>
        <v>0</v>
      </c>
      <c r="J24" s="673"/>
      <c r="K24" s="768">
        <f t="shared" si="5"/>
        <v>0</v>
      </c>
      <c r="L24" s="664"/>
      <c r="M24" s="208"/>
    </row>
    <row r="25" spans="2:21" s="209" customFormat="1" ht="15" customHeight="1" thickBot="1">
      <c r="B25" s="758" t="s">
        <v>149</v>
      </c>
      <c r="C25" s="769">
        <f t="shared" ref="C25:I25" si="6">SUM(C19:C24)</f>
        <v>0</v>
      </c>
      <c r="D25" s="770">
        <f t="shared" si="6"/>
        <v>0</v>
      </c>
      <c r="E25" s="770">
        <f>SUM(E19:E24)</f>
        <v>0</v>
      </c>
      <c r="F25" s="770">
        <f>SUM(F19:F24)</f>
        <v>0</v>
      </c>
      <c r="G25" s="771">
        <f t="shared" ref="G25" si="7">SUM(G19:G24)</f>
        <v>0</v>
      </c>
      <c r="H25" s="770">
        <f t="shared" si="6"/>
        <v>0</v>
      </c>
      <c r="I25" s="771">
        <f t="shared" si="6"/>
        <v>0</v>
      </c>
      <c r="J25" s="772">
        <f>SUM(J19:J24)</f>
        <v>0</v>
      </c>
      <c r="K25" s="773">
        <f>SUM(K19:K24)</f>
        <v>0</v>
      </c>
      <c r="L25" s="664"/>
      <c r="M25" s="208"/>
    </row>
    <row r="26" spans="2:21" s="220" customFormat="1" ht="15" customHeight="1">
      <c r="B26" s="56"/>
      <c r="C26" s="2"/>
      <c r="D26" s="2"/>
      <c r="E26" s="792" t="s">
        <v>305</v>
      </c>
      <c r="F26" s="2"/>
      <c r="G26" s="57"/>
      <c r="I26" s="2"/>
      <c r="J26" s="712" t="s">
        <v>306</v>
      </c>
    </row>
    <row r="27" spans="2:21" s="220" customFormat="1" ht="15" customHeight="1">
      <c r="B27" s="52" t="s">
        <v>71</v>
      </c>
      <c r="C27" s="2"/>
      <c r="D27" s="2"/>
      <c r="E27" s="2"/>
      <c r="F27" s="2"/>
      <c r="G27" s="2"/>
      <c r="H27" s="2"/>
      <c r="I27" s="2"/>
      <c r="J27" s="58"/>
    </row>
    <row r="28" spans="2:21" s="221" customFormat="1" ht="15" customHeight="1" thickBot="1">
      <c r="B28" s="3" t="e">
        <f>DBCS(基本情報!D13)&amp;"月度"</f>
        <v>#VALUE!</v>
      </c>
      <c r="C28" s="3"/>
      <c r="D28" s="3"/>
      <c r="E28" s="3"/>
      <c r="F28" s="3"/>
      <c r="G28" s="3"/>
      <c r="H28" s="3"/>
      <c r="I28" s="3"/>
      <c r="N28" s="3"/>
    </row>
    <row r="29" spans="2:21" s="3" customFormat="1" ht="15" customHeight="1">
      <c r="B29" s="814" t="s">
        <v>72</v>
      </c>
      <c r="C29" s="815"/>
      <c r="D29" s="60" t="s">
        <v>1</v>
      </c>
      <c r="E29" s="60" t="s">
        <v>2</v>
      </c>
      <c r="F29" s="60" t="s">
        <v>3</v>
      </c>
      <c r="G29" s="60" t="s">
        <v>298</v>
      </c>
      <c r="H29" s="60" t="s">
        <v>4</v>
      </c>
      <c r="I29" s="61" t="s">
        <v>73</v>
      </c>
      <c r="J29" s="61" t="s">
        <v>74</v>
      </c>
      <c r="K29" s="644" t="s">
        <v>147</v>
      </c>
      <c r="L29" s="808" t="s">
        <v>59</v>
      </c>
      <c r="M29" s="809"/>
    </row>
    <row r="30" spans="2:21" s="209" customFormat="1" ht="15" customHeight="1">
      <c r="B30" s="822" t="str">
        <f>"１．"&amp;基本情報!C20</f>
        <v>１．</v>
      </c>
      <c r="C30" s="823"/>
      <c r="D30" s="224">
        <f t="shared" ref="D30:D38" si="8">E30+F30-L5-H30-I30</f>
        <v>0</v>
      </c>
      <c r="E30" s="263"/>
      <c r="F30" s="263"/>
      <c r="G30" s="723">
        <f>H30+I30</f>
        <v>0</v>
      </c>
      <c r="H30" s="263"/>
      <c r="I30" s="263"/>
      <c r="J30" s="269"/>
      <c r="K30" s="264"/>
      <c r="L30" s="223" t="s">
        <v>143</v>
      </c>
      <c r="M30" s="264"/>
      <c r="O30" s="55"/>
      <c r="P30" s="208"/>
      <c r="Q30" s="208"/>
    </row>
    <row r="31" spans="2:21" s="209" customFormat="1" ht="15" customHeight="1">
      <c r="B31" s="824" t="str">
        <f>"２．"&amp;基本情報!C21</f>
        <v>２．</v>
      </c>
      <c r="C31" s="825"/>
      <c r="D31" s="224">
        <f t="shared" si="8"/>
        <v>0</v>
      </c>
      <c r="E31" s="265"/>
      <c r="F31" s="265"/>
      <c r="G31" s="724">
        <f t="shared" ref="G31:G42" si="9">H31+I31</f>
        <v>0</v>
      </c>
      <c r="H31" s="265"/>
      <c r="I31" s="265"/>
      <c r="J31" s="270"/>
      <c r="K31" s="266"/>
      <c r="L31" s="225" t="s">
        <v>75</v>
      </c>
      <c r="M31" s="266"/>
    </row>
    <row r="32" spans="2:21" s="209" customFormat="1" ht="15" customHeight="1">
      <c r="B32" s="826" t="str">
        <f>"３．"&amp;基本情報!C22</f>
        <v>３．</v>
      </c>
      <c r="C32" s="827"/>
      <c r="D32" s="224">
        <f t="shared" si="8"/>
        <v>0</v>
      </c>
      <c r="E32" s="265"/>
      <c r="F32" s="265"/>
      <c r="G32" s="724">
        <f t="shared" si="9"/>
        <v>0</v>
      </c>
      <c r="H32" s="265"/>
      <c r="I32" s="265"/>
      <c r="J32" s="270"/>
      <c r="K32" s="266"/>
      <c r="L32" s="225" t="s">
        <v>76</v>
      </c>
      <c r="M32" s="266"/>
    </row>
    <row r="33" spans="2:13" s="209" customFormat="1" ht="15" customHeight="1">
      <c r="B33" s="812" t="str">
        <f>"４．"&amp;基本情報!C23</f>
        <v>４．</v>
      </c>
      <c r="C33" s="813"/>
      <c r="D33" s="224">
        <f t="shared" si="8"/>
        <v>0</v>
      </c>
      <c r="E33" s="265"/>
      <c r="F33" s="265"/>
      <c r="G33" s="724">
        <f t="shared" si="9"/>
        <v>0</v>
      </c>
      <c r="H33" s="265"/>
      <c r="I33" s="265"/>
      <c r="J33" s="270"/>
      <c r="K33" s="266"/>
      <c r="L33" s="225" t="s">
        <v>144</v>
      </c>
      <c r="M33" s="266"/>
    </row>
    <row r="34" spans="2:13" s="209" customFormat="1" ht="15" customHeight="1">
      <c r="B34" s="812" t="str">
        <f>"５．"&amp;基本情報!C24</f>
        <v>５．</v>
      </c>
      <c r="C34" s="813"/>
      <c r="D34" s="224">
        <f t="shared" si="8"/>
        <v>0</v>
      </c>
      <c r="E34" s="265"/>
      <c r="F34" s="265"/>
      <c r="G34" s="724">
        <f t="shared" si="9"/>
        <v>0</v>
      </c>
      <c r="H34" s="265"/>
      <c r="I34" s="265"/>
      <c r="J34" s="270"/>
      <c r="K34" s="266"/>
      <c r="L34" s="226" t="s">
        <v>145</v>
      </c>
      <c r="M34" s="268"/>
    </row>
    <row r="35" spans="2:13" s="209" customFormat="1" ht="15" customHeight="1">
      <c r="B35" s="812" t="str">
        <f>"６．"&amp;基本情報!C25</f>
        <v>６．</v>
      </c>
      <c r="C35" s="813"/>
      <c r="D35" s="224">
        <f t="shared" si="8"/>
        <v>0</v>
      </c>
      <c r="E35" s="265"/>
      <c r="F35" s="265"/>
      <c r="G35" s="724">
        <f t="shared" si="9"/>
        <v>0</v>
      </c>
      <c r="H35" s="265"/>
      <c r="I35" s="265"/>
      <c r="J35" s="270"/>
      <c r="K35" s="266"/>
      <c r="L35" s="227" t="s">
        <v>146</v>
      </c>
      <c r="M35" s="228">
        <f>SUM(M30:M34)</f>
        <v>0</v>
      </c>
    </row>
    <row r="36" spans="2:13" s="209" customFormat="1" ht="15" customHeight="1" thickBot="1">
      <c r="B36" s="812" t="str">
        <f>"７．"&amp;基本情報!C26</f>
        <v>７．</v>
      </c>
      <c r="C36" s="813"/>
      <c r="D36" s="224">
        <f t="shared" si="8"/>
        <v>0</v>
      </c>
      <c r="E36" s="265"/>
      <c r="F36" s="265"/>
      <c r="G36" s="724">
        <f t="shared" si="9"/>
        <v>0</v>
      </c>
      <c r="H36" s="265"/>
      <c r="I36" s="265"/>
      <c r="J36" s="270"/>
      <c r="K36" s="266"/>
      <c r="L36" s="229" t="s">
        <v>60</v>
      </c>
      <c r="M36" s="230">
        <f>F19-M35</f>
        <v>0</v>
      </c>
    </row>
    <row r="37" spans="2:13" s="209" customFormat="1" ht="15" customHeight="1">
      <c r="B37" s="812" t="str">
        <f>"８．"&amp;基本情報!C27</f>
        <v>８．</v>
      </c>
      <c r="C37" s="813"/>
      <c r="D37" s="224">
        <f t="shared" si="8"/>
        <v>0</v>
      </c>
      <c r="E37" s="265"/>
      <c r="F37" s="265"/>
      <c r="G37" s="724">
        <f t="shared" si="9"/>
        <v>0</v>
      </c>
      <c r="H37" s="265"/>
      <c r="I37" s="265"/>
      <c r="J37" s="270"/>
      <c r="K37" s="266"/>
    </row>
    <row r="38" spans="2:13" s="209" customFormat="1" ht="15" customHeight="1">
      <c r="B38" s="812" t="str">
        <f>"９．"&amp;基本情報!C28</f>
        <v>９．</v>
      </c>
      <c r="C38" s="813"/>
      <c r="D38" s="224">
        <f t="shared" si="8"/>
        <v>0</v>
      </c>
      <c r="E38" s="267"/>
      <c r="F38" s="267"/>
      <c r="G38" s="725">
        <f t="shared" si="9"/>
        <v>0</v>
      </c>
      <c r="H38" s="267"/>
      <c r="I38" s="267"/>
      <c r="J38" s="645"/>
      <c r="K38" s="268"/>
    </row>
    <row r="39" spans="2:13" s="209" customFormat="1" ht="15" customHeight="1">
      <c r="B39" s="233" t="s">
        <v>150</v>
      </c>
      <c r="C39" s="234" t="s">
        <v>290</v>
      </c>
      <c r="D39" s="222">
        <f>-I39</f>
        <v>0</v>
      </c>
      <c r="E39" s="235"/>
      <c r="F39" s="235"/>
      <c r="G39" s="723">
        <f t="shared" si="9"/>
        <v>0</v>
      </c>
      <c r="H39" s="235"/>
      <c r="I39" s="263"/>
      <c r="J39" s="646"/>
      <c r="K39" s="264"/>
    </row>
    <row r="40" spans="2:13" s="209" customFormat="1" ht="15" customHeight="1">
      <c r="B40" s="237"/>
      <c r="C40" s="238" t="s">
        <v>291</v>
      </c>
      <c r="D40" s="224">
        <f>-I40</f>
        <v>0</v>
      </c>
      <c r="E40" s="239"/>
      <c r="F40" s="239"/>
      <c r="G40" s="724">
        <f t="shared" si="9"/>
        <v>0</v>
      </c>
      <c r="H40" s="239"/>
      <c r="I40" s="265"/>
      <c r="J40" s="647"/>
      <c r="K40" s="240"/>
    </row>
    <row r="41" spans="2:13" s="209" customFormat="1" ht="15" customHeight="1">
      <c r="B41" s="241"/>
      <c r="C41" s="238" t="s">
        <v>4</v>
      </c>
      <c r="D41" s="239"/>
      <c r="E41" s="239"/>
      <c r="F41" s="239"/>
      <c r="G41" s="724">
        <f t="shared" si="9"/>
        <v>0</v>
      </c>
      <c r="H41" s="224">
        <f>-I41</f>
        <v>0</v>
      </c>
      <c r="I41" s="265"/>
      <c r="J41" s="647"/>
      <c r="K41" s="240"/>
    </row>
    <row r="42" spans="2:13" s="209" customFormat="1" ht="15" customHeight="1">
      <c r="B42" s="242"/>
      <c r="C42" s="243" t="s">
        <v>292</v>
      </c>
      <c r="D42" s="655"/>
      <c r="E42" s="257">
        <f>I42</f>
        <v>0</v>
      </c>
      <c r="F42" s="655"/>
      <c r="G42" s="725">
        <f t="shared" si="9"/>
        <v>0</v>
      </c>
      <c r="H42" s="655"/>
      <c r="I42" s="271"/>
      <c r="J42" s="656"/>
      <c r="K42" s="657"/>
    </row>
    <row r="43" spans="2:13" s="209" customFormat="1" ht="15" customHeight="1">
      <c r="B43" s="658"/>
      <c r="C43" s="659" t="s">
        <v>300</v>
      </c>
      <c r="D43" s="660"/>
      <c r="E43" s="661">
        <f>SUM(E39:E42)</f>
        <v>0</v>
      </c>
      <c r="F43" s="660"/>
      <c r="G43" s="661">
        <f>SUM(G39:G42)</f>
        <v>0</v>
      </c>
      <c r="H43" s="661">
        <f>SUM(H39:H42)</f>
        <v>0</v>
      </c>
      <c r="I43" s="661">
        <f t="shared" ref="I43" si="10">SUM(I39:I42)</f>
        <v>0</v>
      </c>
      <c r="J43" s="662"/>
      <c r="K43" s="746">
        <f t="shared" ref="K43" si="11">SUM(K39:K42)</f>
        <v>0</v>
      </c>
    </row>
    <row r="44" spans="2:13" s="209" customFormat="1" ht="15" customHeight="1">
      <c r="B44" s="810" t="s">
        <v>77</v>
      </c>
      <c r="C44" s="811"/>
      <c r="D44" s="247">
        <f t="shared" ref="D44:J44" si="12">SUM(D30:D42)</f>
        <v>0</v>
      </c>
      <c r="E44" s="247">
        <f t="shared" si="12"/>
        <v>0</v>
      </c>
      <c r="F44" s="247">
        <f t="shared" si="12"/>
        <v>0</v>
      </c>
      <c r="G44" s="247">
        <f t="shared" si="12"/>
        <v>0</v>
      </c>
      <c r="H44" s="247">
        <f t="shared" si="12"/>
        <v>0</v>
      </c>
      <c r="I44" s="248">
        <f t="shared" si="12"/>
        <v>0</v>
      </c>
      <c r="J44" s="649">
        <f t="shared" si="12"/>
        <v>0</v>
      </c>
      <c r="K44" s="249">
        <f>SUM(K30:K42)</f>
        <v>0</v>
      </c>
    </row>
    <row r="45" spans="2:13" s="209" customFormat="1" ht="15" customHeight="1" thickBot="1">
      <c r="B45" s="820" t="s">
        <v>78</v>
      </c>
      <c r="C45" s="821"/>
      <c r="D45" s="250">
        <f t="shared" ref="D45:I45" si="13">C7-D44</f>
        <v>0</v>
      </c>
      <c r="E45" s="250">
        <f t="shared" si="13"/>
        <v>0</v>
      </c>
      <c r="F45" s="250">
        <f t="shared" si="13"/>
        <v>0</v>
      </c>
      <c r="G45" s="250">
        <f t="shared" si="13"/>
        <v>0</v>
      </c>
      <c r="H45" s="250">
        <f t="shared" si="13"/>
        <v>0</v>
      </c>
      <c r="I45" s="251">
        <f t="shared" si="13"/>
        <v>0</v>
      </c>
      <c r="J45" s="251">
        <f>J7-J44</f>
        <v>0</v>
      </c>
      <c r="K45" s="230">
        <f>J19-K44</f>
        <v>0</v>
      </c>
    </row>
    <row r="46" spans="2:13" s="221" customFormat="1" ht="15" customHeight="1" thickBot="1">
      <c r="B46" s="3" t="str">
        <f>DBCS(基本情報!D14)&amp;"月度"</f>
        <v>１月度</v>
      </c>
      <c r="C46" s="3"/>
      <c r="D46" s="3"/>
      <c r="E46" s="3"/>
      <c r="F46" s="3"/>
      <c r="G46" s="3"/>
      <c r="H46" s="3"/>
      <c r="I46" s="3"/>
      <c r="J46" s="3"/>
      <c r="K46" s="3"/>
    </row>
    <row r="47" spans="2:13" s="3" customFormat="1" ht="15" customHeight="1">
      <c r="B47" s="814" t="s">
        <v>79</v>
      </c>
      <c r="C47" s="815"/>
      <c r="D47" s="60" t="s">
        <v>1</v>
      </c>
      <c r="E47" s="60" t="s">
        <v>2</v>
      </c>
      <c r="F47" s="60" t="s">
        <v>3</v>
      </c>
      <c r="G47" s="60" t="s">
        <v>298</v>
      </c>
      <c r="H47" s="60" t="s">
        <v>4</v>
      </c>
      <c r="I47" s="61" t="s">
        <v>80</v>
      </c>
      <c r="J47" s="61" t="s">
        <v>74</v>
      </c>
      <c r="K47" s="644" t="s">
        <v>147</v>
      </c>
      <c r="L47" s="808" t="s">
        <v>59</v>
      </c>
      <c r="M47" s="809"/>
    </row>
    <row r="48" spans="2:13" s="209" customFormat="1" ht="15" customHeight="1">
      <c r="B48" s="822" t="str">
        <f>"１．"&amp;基本情報!C20</f>
        <v>１．</v>
      </c>
      <c r="C48" s="823"/>
      <c r="D48" s="222">
        <f t="shared" ref="D48:D56" si="14">E48+F48-F30-H48-I48</f>
        <v>0</v>
      </c>
      <c r="E48" s="269"/>
      <c r="F48" s="263"/>
      <c r="G48" s="723">
        <f>H48+I48</f>
        <v>0</v>
      </c>
      <c r="H48" s="263"/>
      <c r="I48" s="263"/>
      <c r="J48" s="269"/>
      <c r="K48" s="264"/>
      <c r="L48" s="223" t="s">
        <v>143</v>
      </c>
      <c r="M48" s="264"/>
    </row>
    <row r="49" spans="2:13" s="209" customFormat="1" ht="15" customHeight="1">
      <c r="B49" s="824" t="str">
        <f>"２．"&amp;基本情報!C21</f>
        <v>２．</v>
      </c>
      <c r="C49" s="825"/>
      <c r="D49" s="224">
        <f t="shared" si="14"/>
        <v>0</v>
      </c>
      <c r="E49" s="270"/>
      <c r="F49" s="265"/>
      <c r="G49" s="724">
        <f t="shared" ref="G49:G60" si="15">H49+I49</f>
        <v>0</v>
      </c>
      <c r="H49" s="265"/>
      <c r="I49" s="265"/>
      <c r="J49" s="270"/>
      <c r="K49" s="266"/>
      <c r="L49" s="225" t="s">
        <v>75</v>
      </c>
      <c r="M49" s="266"/>
    </row>
    <row r="50" spans="2:13" s="209" customFormat="1" ht="15" customHeight="1">
      <c r="B50" s="826" t="str">
        <f>"３．"&amp;基本情報!C22</f>
        <v>３．</v>
      </c>
      <c r="C50" s="827"/>
      <c r="D50" s="224">
        <f t="shared" si="14"/>
        <v>0</v>
      </c>
      <c r="E50" s="270"/>
      <c r="F50" s="265"/>
      <c r="G50" s="724">
        <f t="shared" si="15"/>
        <v>0</v>
      </c>
      <c r="H50" s="265"/>
      <c r="I50" s="265"/>
      <c r="J50" s="270"/>
      <c r="K50" s="266"/>
      <c r="L50" s="225" t="s">
        <v>76</v>
      </c>
      <c r="M50" s="266"/>
    </row>
    <row r="51" spans="2:13" s="209" customFormat="1" ht="15" customHeight="1">
      <c r="B51" s="812" t="str">
        <f>"４．"&amp;基本情報!C23</f>
        <v>４．</v>
      </c>
      <c r="C51" s="813"/>
      <c r="D51" s="224">
        <f t="shared" si="14"/>
        <v>0</v>
      </c>
      <c r="E51" s="270"/>
      <c r="F51" s="265"/>
      <c r="G51" s="724">
        <f t="shared" si="15"/>
        <v>0</v>
      </c>
      <c r="H51" s="265"/>
      <c r="I51" s="265"/>
      <c r="J51" s="270"/>
      <c r="K51" s="266"/>
      <c r="L51" s="225" t="s">
        <v>144</v>
      </c>
      <c r="M51" s="266"/>
    </row>
    <row r="52" spans="2:13" s="209" customFormat="1" ht="15" customHeight="1">
      <c r="B52" s="812" t="str">
        <f>"５．"&amp;基本情報!C24</f>
        <v>５．</v>
      </c>
      <c r="C52" s="813"/>
      <c r="D52" s="224">
        <f t="shared" si="14"/>
        <v>0</v>
      </c>
      <c r="E52" s="270"/>
      <c r="F52" s="265"/>
      <c r="G52" s="724">
        <f t="shared" si="15"/>
        <v>0</v>
      </c>
      <c r="H52" s="265"/>
      <c r="I52" s="265"/>
      <c r="J52" s="270"/>
      <c r="K52" s="266"/>
      <c r="L52" s="226" t="s">
        <v>145</v>
      </c>
      <c r="M52" s="268"/>
    </row>
    <row r="53" spans="2:13" s="209" customFormat="1" ht="15" customHeight="1">
      <c r="B53" s="812" t="str">
        <f>"６．"&amp;基本情報!C25</f>
        <v>６．</v>
      </c>
      <c r="C53" s="813"/>
      <c r="D53" s="224">
        <f t="shared" si="14"/>
        <v>0</v>
      </c>
      <c r="E53" s="270"/>
      <c r="F53" s="265"/>
      <c r="G53" s="724">
        <f t="shared" si="15"/>
        <v>0</v>
      </c>
      <c r="H53" s="265"/>
      <c r="I53" s="265"/>
      <c r="J53" s="270"/>
      <c r="K53" s="266"/>
      <c r="L53" s="227" t="s">
        <v>146</v>
      </c>
      <c r="M53" s="228">
        <f>SUM(M48:M52)</f>
        <v>0</v>
      </c>
    </row>
    <row r="54" spans="2:13" s="209" customFormat="1" ht="15" customHeight="1" thickBot="1">
      <c r="B54" s="812" t="str">
        <f>"７．"&amp;基本情報!C26</f>
        <v>７．</v>
      </c>
      <c r="C54" s="813"/>
      <c r="D54" s="224">
        <f t="shared" si="14"/>
        <v>0</v>
      </c>
      <c r="E54" s="270"/>
      <c r="F54" s="265"/>
      <c r="G54" s="724">
        <f t="shared" si="15"/>
        <v>0</v>
      </c>
      <c r="H54" s="265"/>
      <c r="I54" s="265"/>
      <c r="J54" s="270"/>
      <c r="K54" s="266"/>
      <c r="L54" s="229" t="s">
        <v>60</v>
      </c>
      <c r="M54" s="230">
        <f>F20-M53</f>
        <v>0</v>
      </c>
    </row>
    <row r="55" spans="2:13" s="209" customFormat="1" ht="15" customHeight="1">
      <c r="B55" s="812" t="str">
        <f>"８．"&amp;基本情報!C27</f>
        <v>８．</v>
      </c>
      <c r="C55" s="813"/>
      <c r="D55" s="224">
        <f t="shared" si="14"/>
        <v>0</v>
      </c>
      <c r="E55" s="270"/>
      <c r="F55" s="265"/>
      <c r="G55" s="724">
        <f t="shared" si="15"/>
        <v>0</v>
      </c>
      <c r="H55" s="265"/>
      <c r="I55" s="265"/>
      <c r="J55" s="270"/>
      <c r="K55" s="266"/>
    </row>
    <row r="56" spans="2:13" s="209" customFormat="1" ht="15" customHeight="1">
      <c r="B56" s="812" t="str">
        <f>"９．"&amp;基本情報!C28</f>
        <v>９．</v>
      </c>
      <c r="C56" s="813"/>
      <c r="D56" s="231">
        <f t="shared" si="14"/>
        <v>0</v>
      </c>
      <c r="E56" s="270"/>
      <c r="F56" s="267"/>
      <c r="G56" s="725">
        <f t="shared" si="15"/>
        <v>0</v>
      </c>
      <c r="H56" s="267"/>
      <c r="I56" s="271"/>
      <c r="J56" s="270"/>
      <c r="K56" s="652"/>
    </row>
    <row r="57" spans="2:13" s="209" customFormat="1" ht="15" customHeight="1">
      <c r="B57" s="233" t="s">
        <v>150</v>
      </c>
      <c r="C57" s="234" t="str">
        <f>$C$39</f>
        <v>仕入値引</v>
      </c>
      <c r="D57" s="222">
        <f>-I57</f>
        <v>0</v>
      </c>
      <c r="E57" s="235"/>
      <c r="F57" s="235"/>
      <c r="G57" s="723">
        <f t="shared" si="15"/>
        <v>0</v>
      </c>
      <c r="H57" s="235"/>
      <c r="I57" s="263"/>
      <c r="J57" s="646"/>
      <c r="K57" s="264"/>
    </row>
    <row r="58" spans="2:13" s="209" customFormat="1" ht="15" customHeight="1">
      <c r="B58" s="237"/>
      <c r="C58" s="238" t="str">
        <f>$C$40</f>
        <v>仕入経費</v>
      </c>
      <c r="D58" s="224">
        <f>-I58</f>
        <v>0</v>
      </c>
      <c r="E58" s="239"/>
      <c r="F58" s="239"/>
      <c r="G58" s="724">
        <f t="shared" si="15"/>
        <v>0</v>
      </c>
      <c r="H58" s="239"/>
      <c r="I58" s="265"/>
      <c r="J58" s="647"/>
      <c r="K58" s="240"/>
    </row>
    <row r="59" spans="2:13" s="209" customFormat="1" ht="15" customHeight="1">
      <c r="B59" s="241"/>
      <c r="C59" s="238" t="str">
        <f>$C$41</f>
        <v>商品経費</v>
      </c>
      <c r="D59" s="239"/>
      <c r="E59" s="239"/>
      <c r="F59" s="239"/>
      <c r="G59" s="724">
        <f t="shared" si="15"/>
        <v>0</v>
      </c>
      <c r="H59" s="224">
        <f>-I59</f>
        <v>0</v>
      </c>
      <c r="I59" s="265"/>
      <c r="J59" s="647"/>
      <c r="K59" s="240"/>
    </row>
    <row r="60" spans="2:13" s="209" customFormat="1" ht="15" customHeight="1">
      <c r="B60" s="653"/>
      <c r="C60" s="654" t="str">
        <f>$C$42</f>
        <v>売上値引</v>
      </c>
      <c r="D60" s="655"/>
      <c r="E60" s="257">
        <f>I60</f>
        <v>0</v>
      </c>
      <c r="F60" s="655"/>
      <c r="G60" s="725">
        <f t="shared" si="15"/>
        <v>0</v>
      </c>
      <c r="H60" s="655"/>
      <c r="I60" s="271"/>
      <c r="J60" s="656"/>
      <c r="K60" s="657"/>
    </row>
    <row r="61" spans="2:13" s="209" customFormat="1" ht="15" customHeight="1">
      <c r="B61" s="658"/>
      <c r="C61" s="659" t="s">
        <v>300</v>
      </c>
      <c r="D61" s="660"/>
      <c r="E61" s="661">
        <f>SUM(E57:E60)</f>
        <v>0</v>
      </c>
      <c r="F61" s="660"/>
      <c r="G61" s="661">
        <f>SUM(G57:G60)</f>
        <v>0</v>
      </c>
      <c r="H61" s="661">
        <f>SUM(H57:H60)</f>
        <v>0</v>
      </c>
      <c r="I61" s="661">
        <f t="shared" ref="I61:K61" si="16">SUM(I57:I60)</f>
        <v>0</v>
      </c>
      <c r="J61" s="662"/>
      <c r="K61" s="746">
        <f t="shared" si="16"/>
        <v>0</v>
      </c>
    </row>
    <row r="62" spans="2:13" s="209" customFormat="1" ht="15" customHeight="1">
      <c r="B62" s="810" t="s">
        <v>77</v>
      </c>
      <c r="C62" s="811"/>
      <c r="D62" s="247">
        <f t="shared" ref="D62:J62" si="17">SUM(D48:D60)</f>
        <v>0</v>
      </c>
      <c r="E62" s="247">
        <f t="shared" si="17"/>
        <v>0</v>
      </c>
      <c r="F62" s="247">
        <f t="shared" si="17"/>
        <v>0</v>
      </c>
      <c r="G62" s="247">
        <f t="shared" ref="G62" si="18">SUM(G48:G60)</f>
        <v>0</v>
      </c>
      <c r="H62" s="247">
        <f t="shared" si="17"/>
        <v>0</v>
      </c>
      <c r="I62" s="248">
        <f t="shared" si="17"/>
        <v>0</v>
      </c>
      <c r="J62" s="649">
        <f t="shared" si="17"/>
        <v>0</v>
      </c>
      <c r="K62" s="249">
        <f>SUM(K48:K60)</f>
        <v>0</v>
      </c>
    </row>
    <row r="63" spans="2:13" s="209" customFormat="1" ht="15" customHeight="1" thickBot="1">
      <c r="B63" s="820" t="s">
        <v>78</v>
      </c>
      <c r="C63" s="821"/>
      <c r="D63" s="250">
        <f t="shared" ref="D63:I63" si="19">C8-D62</f>
        <v>0</v>
      </c>
      <c r="E63" s="250">
        <f t="shared" si="19"/>
        <v>0</v>
      </c>
      <c r="F63" s="250">
        <f t="shared" si="19"/>
        <v>0</v>
      </c>
      <c r="G63" s="250">
        <f t="shared" si="19"/>
        <v>0</v>
      </c>
      <c r="H63" s="250">
        <f t="shared" si="19"/>
        <v>0</v>
      </c>
      <c r="I63" s="251">
        <f t="shared" si="19"/>
        <v>0</v>
      </c>
      <c r="J63" s="251">
        <f>J8-J62</f>
        <v>0</v>
      </c>
      <c r="K63" s="230">
        <f>J20-K62</f>
        <v>0</v>
      </c>
    </row>
    <row r="64" spans="2:13" s="221" customFormat="1" ht="15" customHeight="1" thickBot="1">
      <c r="B64" s="3" t="str">
        <f>DBCS(基本情報!D15)&amp;"月度"</f>
        <v>２月度</v>
      </c>
      <c r="C64" s="3"/>
      <c r="D64" s="3"/>
      <c r="E64" s="3"/>
      <c r="F64" s="3"/>
      <c r="G64" s="3"/>
      <c r="H64" s="3"/>
      <c r="I64" s="3"/>
      <c r="J64" s="3"/>
    </row>
    <row r="65" spans="2:13" s="3" customFormat="1" ht="15" customHeight="1">
      <c r="B65" s="814" t="s">
        <v>79</v>
      </c>
      <c r="C65" s="815"/>
      <c r="D65" s="60" t="s">
        <v>1</v>
      </c>
      <c r="E65" s="60" t="s">
        <v>2</v>
      </c>
      <c r="F65" s="60" t="s">
        <v>3</v>
      </c>
      <c r="G65" s="60" t="s">
        <v>298</v>
      </c>
      <c r="H65" s="60" t="s">
        <v>4</v>
      </c>
      <c r="I65" s="61" t="s">
        <v>81</v>
      </c>
      <c r="J65" s="61" t="s">
        <v>74</v>
      </c>
      <c r="K65" s="644" t="s">
        <v>147</v>
      </c>
      <c r="L65" s="808" t="s">
        <v>59</v>
      </c>
      <c r="M65" s="809"/>
    </row>
    <row r="66" spans="2:13" s="209" customFormat="1" ht="15" customHeight="1">
      <c r="B66" s="822" t="str">
        <f>"１．"&amp;基本情報!C20</f>
        <v>１．</v>
      </c>
      <c r="C66" s="823"/>
      <c r="D66" s="222">
        <f t="shared" ref="D66:D74" si="20">E66+F66-F48-H66-I66</f>
        <v>0</v>
      </c>
      <c r="E66" s="269"/>
      <c r="F66" s="263"/>
      <c r="G66" s="723">
        <f>H66+I66</f>
        <v>0</v>
      </c>
      <c r="H66" s="263"/>
      <c r="I66" s="263"/>
      <c r="J66" s="269"/>
      <c r="K66" s="264"/>
      <c r="L66" s="223" t="s">
        <v>143</v>
      </c>
      <c r="M66" s="264"/>
    </row>
    <row r="67" spans="2:13" s="209" customFormat="1" ht="15" customHeight="1">
      <c r="B67" s="824" t="str">
        <f>"２．"&amp;基本情報!C21</f>
        <v>２．</v>
      </c>
      <c r="C67" s="825"/>
      <c r="D67" s="224">
        <f t="shared" si="20"/>
        <v>0</v>
      </c>
      <c r="E67" s="270"/>
      <c r="F67" s="265"/>
      <c r="G67" s="724">
        <f t="shared" ref="G67:G78" si="21">H67+I67</f>
        <v>0</v>
      </c>
      <c r="H67" s="265"/>
      <c r="I67" s="265"/>
      <c r="J67" s="270"/>
      <c r="K67" s="266"/>
      <c r="L67" s="225" t="s">
        <v>75</v>
      </c>
      <c r="M67" s="266"/>
    </row>
    <row r="68" spans="2:13" s="209" customFormat="1" ht="15" customHeight="1">
      <c r="B68" s="826" t="str">
        <f>"３．"&amp;基本情報!C22</f>
        <v>３．</v>
      </c>
      <c r="C68" s="827"/>
      <c r="D68" s="224">
        <f t="shared" si="20"/>
        <v>0</v>
      </c>
      <c r="E68" s="270"/>
      <c r="F68" s="265"/>
      <c r="G68" s="724">
        <f t="shared" si="21"/>
        <v>0</v>
      </c>
      <c r="H68" s="265"/>
      <c r="I68" s="265"/>
      <c r="J68" s="270"/>
      <c r="K68" s="266"/>
      <c r="L68" s="225" t="s">
        <v>76</v>
      </c>
      <c r="M68" s="266"/>
    </row>
    <row r="69" spans="2:13" s="209" customFormat="1" ht="15" customHeight="1">
      <c r="B69" s="812" t="str">
        <f>"４．"&amp;基本情報!C23</f>
        <v>４．</v>
      </c>
      <c r="C69" s="813"/>
      <c r="D69" s="224">
        <f t="shared" si="20"/>
        <v>0</v>
      </c>
      <c r="E69" s="270"/>
      <c r="F69" s="265"/>
      <c r="G69" s="724">
        <f t="shared" si="21"/>
        <v>0</v>
      </c>
      <c r="H69" s="265"/>
      <c r="I69" s="265"/>
      <c r="J69" s="270"/>
      <c r="K69" s="266"/>
      <c r="L69" s="225" t="s">
        <v>144</v>
      </c>
      <c r="M69" s="266"/>
    </row>
    <row r="70" spans="2:13" s="209" customFormat="1" ht="15" customHeight="1">
      <c r="B70" s="812" t="str">
        <f>"５．"&amp;基本情報!C24</f>
        <v>５．</v>
      </c>
      <c r="C70" s="813"/>
      <c r="D70" s="224">
        <f t="shared" si="20"/>
        <v>0</v>
      </c>
      <c r="E70" s="270"/>
      <c r="F70" s="265"/>
      <c r="G70" s="724">
        <f t="shared" si="21"/>
        <v>0</v>
      </c>
      <c r="H70" s="265"/>
      <c r="I70" s="265"/>
      <c r="J70" s="270"/>
      <c r="K70" s="266"/>
      <c r="L70" s="226" t="s">
        <v>145</v>
      </c>
      <c r="M70" s="268"/>
    </row>
    <row r="71" spans="2:13" s="209" customFormat="1" ht="15" customHeight="1">
      <c r="B71" s="812" t="str">
        <f>"６．"&amp;基本情報!C25</f>
        <v>６．</v>
      </c>
      <c r="C71" s="813"/>
      <c r="D71" s="224">
        <f t="shared" si="20"/>
        <v>0</v>
      </c>
      <c r="E71" s="270"/>
      <c r="F71" s="265"/>
      <c r="G71" s="724">
        <f t="shared" si="21"/>
        <v>0</v>
      </c>
      <c r="H71" s="265"/>
      <c r="I71" s="265"/>
      <c r="J71" s="270"/>
      <c r="K71" s="266"/>
      <c r="L71" s="227" t="s">
        <v>146</v>
      </c>
      <c r="M71" s="228">
        <f>SUM(M66:M70)</f>
        <v>0</v>
      </c>
    </row>
    <row r="72" spans="2:13" s="209" customFormat="1" ht="15" customHeight="1" thickBot="1">
      <c r="B72" s="812" t="str">
        <f>"７．"&amp;基本情報!C26</f>
        <v>７．</v>
      </c>
      <c r="C72" s="813"/>
      <c r="D72" s="224">
        <f t="shared" si="20"/>
        <v>0</v>
      </c>
      <c r="E72" s="270"/>
      <c r="F72" s="265"/>
      <c r="G72" s="724">
        <f t="shared" si="21"/>
        <v>0</v>
      </c>
      <c r="H72" s="265"/>
      <c r="I72" s="265"/>
      <c r="J72" s="270"/>
      <c r="K72" s="266"/>
      <c r="L72" s="229" t="s">
        <v>60</v>
      </c>
      <c r="M72" s="230">
        <f>F21-M71</f>
        <v>0</v>
      </c>
    </row>
    <row r="73" spans="2:13" s="209" customFormat="1" ht="15" customHeight="1">
      <c r="B73" s="812" t="str">
        <f>"８．"&amp;基本情報!C27</f>
        <v>８．</v>
      </c>
      <c r="C73" s="813"/>
      <c r="D73" s="224">
        <f t="shared" si="20"/>
        <v>0</v>
      </c>
      <c r="E73" s="270"/>
      <c r="F73" s="265"/>
      <c r="G73" s="724">
        <f t="shared" si="21"/>
        <v>0</v>
      </c>
      <c r="H73" s="265"/>
      <c r="I73" s="265"/>
      <c r="J73" s="270"/>
      <c r="K73" s="266"/>
    </row>
    <row r="74" spans="2:13" s="209" customFormat="1" ht="15" customHeight="1">
      <c r="B74" s="812" t="str">
        <f>"９．"&amp;基本情報!C28</f>
        <v>９．</v>
      </c>
      <c r="C74" s="813"/>
      <c r="D74" s="231">
        <f t="shared" si="20"/>
        <v>0</v>
      </c>
      <c r="E74" s="270"/>
      <c r="F74" s="267"/>
      <c r="G74" s="725">
        <f t="shared" si="21"/>
        <v>0</v>
      </c>
      <c r="H74" s="267"/>
      <c r="I74" s="271"/>
      <c r="J74" s="270"/>
      <c r="K74" s="268"/>
    </row>
    <row r="75" spans="2:13" s="209" customFormat="1" ht="15" customHeight="1">
      <c r="B75" s="233" t="s">
        <v>150</v>
      </c>
      <c r="C75" s="234" t="str">
        <f>$C$39</f>
        <v>仕入値引</v>
      </c>
      <c r="D75" s="222">
        <f>-I75</f>
        <v>0</v>
      </c>
      <c r="E75" s="235"/>
      <c r="F75" s="235"/>
      <c r="G75" s="723">
        <f t="shared" si="21"/>
        <v>0</v>
      </c>
      <c r="H75" s="235"/>
      <c r="I75" s="263"/>
      <c r="J75" s="646"/>
      <c r="K75" s="264"/>
    </row>
    <row r="76" spans="2:13" s="209" customFormat="1" ht="15" customHeight="1">
      <c r="B76" s="237"/>
      <c r="C76" s="238" t="str">
        <f>$C$40</f>
        <v>仕入経費</v>
      </c>
      <c r="D76" s="224">
        <f>-I76</f>
        <v>0</v>
      </c>
      <c r="E76" s="239"/>
      <c r="F76" s="239"/>
      <c r="G76" s="724">
        <f t="shared" si="21"/>
        <v>0</v>
      </c>
      <c r="H76" s="239"/>
      <c r="I76" s="265"/>
      <c r="J76" s="647"/>
      <c r="K76" s="240"/>
    </row>
    <row r="77" spans="2:13" s="209" customFormat="1" ht="15" customHeight="1">
      <c r="B77" s="241"/>
      <c r="C77" s="238" t="str">
        <f>$C$41</f>
        <v>商品経費</v>
      </c>
      <c r="D77" s="239"/>
      <c r="E77" s="239"/>
      <c r="F77" s="239"/>
      <c r="G77" s="724">
        <f t="shared" si="21"/>
        <v>0</v>
      </c>
      <c r="H77" s="224">
        <f>-I77</f>
        <v>0</v>
      </c>
      <c r="I77" s="265"/>
      <c r="J77" s="647"/>
      <c r="K77" s="240"/>
    </row>
    <row r="78" spans="2:13" s="209" customFormat="1" ht="15" customHeight="1">
      <c r="B78" s="242"/>
      <c r="C78" s="238" t="str">
        <f>$C$42</f>
        <v>売上値引</v>
      </c>
      <c r="D78" s="655"/>
      <c r="E78" s="257">
        <f>I78</f>
        <v>0</v>
      </c>
      <c r="F78" s="655"/>
      <c r="G78" s="725">
        <f t="shared" si="21"/>
        <v>0</v>
      </c>
      <c r="H78" s="655"/>
      <c r="I78" s="271"/>
      <c r="J78" s="656"/>
      <c r="K78" s="657"/>
    </row>
    <row r="79" spans="2:13" s="209" customFormat="1" ht="15" customHeight="1">
      <c r="B79" s="658"/>
      <c r="C79" s="659" t="s">
        <v>300</v>
      </c>
      <c r="D79" s="660"/>
      <c r="E79" s="661">
        <f>SUM(E75:E78)</f>
        <v>0</v>
      </c>
      <c r="F79" s="660"/>
      <c r="G79" s="661">
        <f>SUM(G75:G78)</f>
        <v>0</v>
      </c>
      <c r="H79" s="661">
        <f>SUM(H75:H78)</f>
        <v>0</v>
      </c>
      <c r="I79" s="661">
        <f t="shared" ref="I79" si="22">SUM(I75:I78)</f>
        <v>0</v>
      </c>
      <c r="J79" s="662"/>
      <c r="K79" s="746">
        <f t="shared" ref="K79" si="23">SUM(K75:K78)</f>
        <v>0</v>
      </c>
    </row>
    <row r="80" spans="2:13" s="209" customFormat="1" ht="15" customHeight="1">
      <c r="B80" s="810" t="s">
        <v>77</v>
      </c>
      <c r="C80" s="811"/>
      <c r="D80" s="247">
        <f t="shared" ref="D80:J80" si="24">SUM(D66:D78)</f>
        <v>0</v>
      </c>
      <c r="E80" s="247">
        <f t="shared" si="24"/>
        <v>0</v>
      </c>
      <c r="F80" s="247">
        <f t="shared" si="24"/>
        <v>0</v>
      </c>
      <c r="G80" s="247">
        <f t="shared" ref="G80" si="25">SUM(G66:G78)</f>
        <v>0</v>
      </c>
      <c r="H80" s="247">
        <f t="shared" si="24"/>
        <v>0</v>
      </c>
      <c r="I80" s="248">
        <f t="shared" si="24"/>
        <v>0</v>
      </c>
      <c r="J80" s="649">
        <f t="shared" si="24"/>
        <v>0</v>
      </c>
      <c r="K80" s="249">
        <f>SUM(K66:K78)</f>
        <v>0</v>
      </c>
    </row>
    <row r="81" spans="2:13" s="209" customFormat="1" ht="15" customHeight="1" thickBot="1">
      <c r="B81" s="820" t="s">
        <v>78</v>
      </c>
      <c r="C81" s="821"/>
      <c r="D81" s="250">
        <f t="shared" ref="D81:I81" si="26">C9-D80</f>
        <v>0</v>
      </c>
      <c r="E81" s="250">
        <f t="shared" si="26"/>
        <v>0</v>
      </c>
      <c r="F81" s="250">
        <f t="shared" si="26"/>
        <v>0</v>
      </c>
      <c r="G81" s="250">
        <f t="shared" si="26"/>
        <v>0</v>
      </c>
      <c r="H81" s="250">
        <f t="shared" si="26"/>
        <v>0</v>
      </c>
      <c r="I81" s="251">
        <f t="shared" si="26"/>
        <v>0</v>
      </c>
      <c r="J81" s="251">
        <f>J9-J80</f>
        <v>0</v>
      </c>
      <c r="K81" s="230">
        <f>J21-K80</f>
        <v>0</v>
      </c>
    </row>
    <row r="82" spans="2:13" s="221" customFormat="1" ht="15" customHeight="1" thickBot="1">
      <c r="B82" s="3" t="e">
        <f>DBCS(基本情報!D16)&amp;"月度"</f>
        <v>#VALUE!</v>
      </c>
      <c r="C82" s="3"/>
      <c r="D82" s="3"/>
      <c r="E82" s="3"/>
      <c r="F82" s="3"/>
      <c r="G82" s="3"/>
      <c r="H82" s="3"/>
      <c r="I82" s="3"/>
      <c r="J82" s="3"/>
      <c r="K82" s="62"/>
      <c r="M82" s="1" t="s">
        <v>151</v>
      </c>
    </row>
    <row r="83" spans="2:13" s="3" customFormat="1" ht="15" customHeight="1">
      <c r="B83" s="814" t="s">
        <v>79</v>
      </c>
      <c r="C83" s="815"/>
      <c r="D83" s="60" t="s">
        <v>1</v>
      </c>
      <c r="E83" s="60" t="s">
        <v>2</v>
      </c>
      <c r="F83" s="60" t="s">
        <v>3</v>
      </c>
      <c r="G83" s="60" t="s">
        <v>298</v>
      </c>
      <c r="H83" s="60" t="s">
        <v>4</v>
      </c>
      <c r="I83" s="61" t="s">
        <v>81</v>
      </c>
      <c r="J83" s="61" t="s">
        <v>74</v>
      </c>
      <c r="K83" s="644" t="s">
        <v>147</v>
      </c>
      <c r="L83" s="808" t="s">
        <v>59</v>
      </c>
      <c r="M83" s="809"/>
    </row>
    <row r="84" spans="2:13" s="209" customFormat="1" ht="15" customHeight="1">
      <c r="B84" s="822" t="str">
        <f>"１．"&amp;基本情報!C20</f>
        <v>１．</v>
      </c>
      <c r="C84" s="823"/>
      <c r="D84" s="222">
        <f t="shared" ref="D84:D92" si="27">E84+F84-F66-H84-I84</f>
        <v>0</v>
      </c>
      <c r="E84" s="269"/>
      <c r="F84" s="263"/>
      <c r="G84" s="723">
        <f>H84+I84</f>
        <v>0</v>
      </c>
      <c r="H84" s="263"/>
      <c r="I84" s="263"/>
      <c r="J84" s="269"/>
      <c r="K84" s="264"/>
      <c r="L84" s="223" t="s">
        <v>143</v>
      </c>
      <c r="M84" s="264"/>
    </row>
    <row r="85" spans="2:13" s="209" customFormat="1" ht="15" customHeight="1">
      <c r="B85" s="824" t="str">
        <f>"２．"&amp;基本情報!C21</f>
        <v>２．</v>
      </c>
      <c r="C85" s="825"/>
      <c r="D85" s="224">
        <f t="shared" si="27"/>
        <v>0</v>
      </c>
      <c r="E85" s="270"/>
      <c r="F85" s="265"/>
      <c r="G85" s="724">
        <f t="shared" ref="G85:G96" si="28">H85+I85</f>
        <v>0</v>
      </c>
      <c r="H85" s="265"/>
      <c r="I85" s="265"/>
      <c r="J85" s="270"/>
      <c r="K85" s="266"/>
      <c r="L85" s="225" t="s">
        <v>75</v>
      </c>
      <c r="M85" s="266"/>
    </row>
    <row r="86" spans="2:13" s="209" customFormat="1" ht="15" customHeight="1">
      <c r="B86" s="826" t="str">
        <f>"３．"&amp;基本情報!C22</f>
        <v>３．</v>
      </c>
      <c r="C86" s="827"/>
      <c r="D86" s="224">
        <f t="shared" si="27"/>
        <v>0</v>
      </c>
      <c r="E86" s="270"/>
      <c r="F86" s="265"/>
      <c r="G86" s="724">
        <f t="shared" si="28"/>
        <v>0</v>
      </c>
      <c r="H86" s="265"/>
      <c r="I86" s="265"/>
      <c r="J86" s="270"/>
      <c r="K86" s="266"/>
      <c r="L86" s="225" t="s">
        <v>76</v>
      </c>
      <c r="M86" s="266"/>
    </row>
    <row r="87" spans="2:13" s="209" customFormat="1" ht="15" customHeight="1">
      <c r="B87" s="812" t="str">
        <f>"４．"&amp;基本情報!C23</f>
        <v>４．</v>
      </c>
      <c r="C87" s="813"/>
      <c r="D87" s="224">
        <f t="shared" si="27"/>
        <v>0</v>
      </c>
      <c r="E87" s="270"/>
      <c r="F87" s="265"/>
      <c r="G87" s="724">
        <f t="shared" si="28"/>
        <v>0</v>
      </c>
      <c r="H87" s="265"/>
      <c r="I87" s="265"/>
      <c r="J87" s="270"/>
      <c r="K87" s="266"/>
      <c r="L87" s="225" t="s">
        <v>144</v>
      </c>
      <c r="M87" s="266"/>
    </row>
    <row r="88" spans="2:13" s="209" customFormat="1" ht="15" customHeight="1">
      <c r="B88" s="812" t="str">
        <f>"５．"&amp;基本情報!C24</f>
        <v>５．</v>
      </c>
      <c r="C88" s="813"/>
      <c r="D88" s="224">
        <f t="shared" si="27"/>
        <v>0</v>
      </c>
      <c r="E88" s="270"/>
      <c r="F88" s="265"/>
      <c r="G88" s="724">
        <f t="shared" si="28"/>
        <v>0</v>
      </c>
      <c r="H88" s="265"/>
      <c r="I88" s="265"/>
      <c r="J88" s="270"/>
      <c r="K88" s="266"/>
      <c r="L88" s="226" t="s">
        <v>145</v>
      </c>
      <c r="M88" s="268"/>
    </row>
    <row r="89" spans="2:13" s="209" customFormat="1" ht="15" customHeight="1">
      <c r="B89" s="812" t="str">
        <f>"６．"&amp;基本情報!C25</f>
        <v>６．</v>
      </c>
      <c r="C89" s="813"/>
      <c r="D89" s="224">
        <f t="shared" si="27"/>
        <v>0</v>
      </c>
      <c r="E89" s="270"/>
      <c r="F89" s="265"/>
      <c r="G89" s="724">
        <f t="shared" si="28"/>
        <v>0</v>
      </c>
      <c r="H89" s="265"/>
      <c r="I89" s="265"/>
      <c r="J89" s="270"/>
      <c r="K89" s="266"/>
      <c r="L89" s="227" t="s">
        <v>146</v>
      </c>
      <c r="M89" s="228">
        <f>SUM(M84:M88)</f>
        <v>0</v>
      </c>
    </row>
    <row r="90" spans="2:13" s="209" customFormat="1" ht="15" customHeight="1" thickBot="1">
      <c r="B90" s="812" t="str">
        <f>"７．"&amp;基本情報!C26</f>
        <v>７．</v>
      </c>
      <c r="C90" s="813"/>
      <c r="D90" s="224">
        <f t="shared" si="27"/>
        <v>0</v>
      </c>
      <c r="E90" s="270"/>
      <c r="F90" s="265"/>
      <c r="G90" s="724">
        <f t="shared" si="28"/>
        <v>0</v>
      </c>
      <c r="H90" s="265"/>
      <c r="I90" s="265"/>
      <c r="J90" s="270"/>
      <c r="K90" s="266"/>
      <c r="L90" s="229" t="s">
        <v>60</v>
      </c>
      <c r="M90" s="230">
        <f>F22-M89</f>
        <v>0</v>
      </c>
    </row>
    <row r="91" spans="2:13" s="209" customFormat="1" ht="15" customHeight="1">
      <c r="B91" s="812" t="str">
        <f>"８．"&amp;基本情報!C27</f>
        <v>８．</v>
      </c>
      <c r="C91" s="813"/>
      <c r="D91" s="224">
        <f t="shared" si="27"/>
        <v>0</v>
      </c>
      <c r="E91" s="270"/>
      <c r="F91" s="265"/>
      <c r="G91" s="724">
        <f t="shared" si="28"/>
        <v>0</v>
      </c>
      <c r="H91" s="265"/>
      <c r="I91" s="265"/>
      <c r="J91" s="270"/>
      <c r="K91" s="266"/>
    </row>
    <row r="92" spans="2:13" s="209" customFormat="1" ht="15" customHeight="1">
      <c r="B92" s="812" t="str">
        <f>"９．"&amp;基本情報!C28</f>
        <v>９．</v>
      </c>
      <c r="C92" s="813"/>
      <c r="D92" s="231">
        <f t="shared" si="27"/>
        <v>0</v>
      </c>
      <c r="E92" s="270"/>
      <c r="F92" s="267"/>
      <c r="G92" s="725">
        <f t="shared" si="28"/>
        <v>0</v>
      </c>
      <c r="H92" s="267"/>
      <c r="I92" s="271"/>
      <c r="J92" s="270"/>
      <c r="K92" s="652"/>
    </row>
    <row r="93" spans="2:13" s="209" customFormat="1" ht="15" customHeight="1">
      <c r="B93" s="233" t="s">
        <v>150</v>
      </c>
      <c r="C93" s="234" t="str">
        <f>$C$39</f>
        <v>仕入値引</v>
      </c>
      <c r="D93" s="222">
        <f>-I93</f>
        <v>0</v>
      </c>
      <c r="E93" s="235"/>
      <c r="F93" s="235"/>
      <c r="G93" s="723">
        <f t="shared" si="28"/>
        <v>0</v>
      </c>
      <c r="H93" s="235"/>
      <c r="I93" s="263"/>
      <c r="J93" s="646"/>
      <c r="K93" s="264"/>
    </row>
    <row r="94" spans="2:13" s="209" customFormat="1" ht="15" customHeight="1">
      <c r="B94" s="237"/>
      <c r="C94" s="238" t="str">
        <f>$C$40</f>
        <v>仕入経費</v>
      </c>
      <c r="D94" s="224">
        <f>-I94</f>
        <v>0</v>
      </c>
      <c r="E94" s="239"/>
      <c r="F94" s="239"/>
      <c r="G94" s="724">
        <f t="shared" si="28"/>
        <v>0</v>
      </c>
      <c r="H94" s="239"/>
      <c r="I94" s="265"/>
      <c r="J94" s="647"/>
      <c r="K94" s="240"/>
    </row>
    <row r="95" spans="2:13" s="209" customFormat="1" ht="15" customHeight="1">
      <c r="B95" s="241"/>
      <c r="C95" s="238" t="str">
        <f>$C$41</f>
        <v>商品経費</v>
      </c>
      <c r="D95" s="239"/>
      <c r="E95" s="239"/>
      <c r="F95" s="239"/>
      <c r="G95" s="724">
        <f t="shared" si="28"/>
        <v>0</v>
      </c>
      <c r="H95" s="224">
        <f>-I95</f>
        <v>0</v>
      </c>
      <c r="I95" s="265"/>
      <c r="J95" s="647"/>
      <c r="K95" s="240"/>
    </row>
    <row r="96" spans="2:13" s="209" customFormat="1" ht="15" customHeight="1">
      <c r="B96" s="242"/>
      <c r="C96" s="238" t="str">
        <f>$C$42</f>
        <v>売上値引</v>
      </c>
      <c r="D96" s="655"/>
      <c r="E96" s="257">
        <f>I96</f>
        <v>0</v>
      </c>
      <c r="F96" s="655"/>
      <c r="G96" s="725">
        <f t="shared" si="28"/>
        <v>0</v>
      </c>
      <c r="H96" s="655"/>
      <c r="I96" s="271"/>
      <c r="J96" s="656"/>
      <c r="K96" s="657"/>
    </row>
    <row r="97" spans="2:13" s="209" customFormat="1" ht="15" customHeight="1">
      <c r="B97" s="658"/>
      <c r="C97" s="659" t="s">
        <v>300</v>
      </c>
      <c r="D97" s="660"/>
      <c r="E97" s="661">
        <f>SUM(E93:E96)</f>
        <v>0</v>
      </c>
      <c r="F97" s="660"/>
      <c r="G97" s="661">
        <f>SUM(G93:G96)</f>
        <v>0</v>
      </c>
      <c r="H97" s="661">
        <f>SUM(H93:H96)</f>
        <v>0</v>
      </c>
      <c r="I97" s="661">
        <f t="shared" ref="I97" si="29">SUM(I93:I96)</f>
        <v>0</v>
      </c>
      <c r="J97" s="662"/>
      <c r="K97" s="746">
        <f t="shared" ref="K97" si="30">SUM(K93:K96)</f>
        <v>0</v>
      </c>
    </row>
    <row r="98" spans="2:13" s="209" customFormat="1" ht="15" customHeight="1">
      <c r="B98" s="810" t="s">
        <v>77</v>
      </c>
      <c r="C98" s="811"/>
      <c r="D98" s="247">
        <f t="shared" ref="D98:J98" si="31">SUM(D84:D96)</f>
        <v>0</v>
      </c>
      <c r="E98" s="247">
        <f t="shared" si="31"/>
        <v>0</v>
      </c>
      <c r="F98" s="247">
        <f t="shared" si="31"/>
        <v>0</v>
      </c>
      <c r="G98" s="247">
        <f t="shared" ref="G98" si="32">SUM(G84:G96)</f>
        <v>0</v>
      </c>
      <c r="H98" s="247">
        <f t="shared" si="31"/>
        <v>0</v>
      </c>
      <c r="I98" s="248">
        <f t="shared" si="31"/>
        <v>0</v>
      </c>
      <c r="J98" s="649">
        <f t="shared" si="31"/>
        <v>0</v>
      </c>
      <c r="K98" s="249">
        <f>SUM(K84:K96)</f>
        <v>0</v>
      </c>
    </row>
    <row r="99" spans="2:13" s="209" customFormat="1" ht="15" customHeight="1" thickBot="1">
      <c r="B99" s="820" t="s">
        <v>78</v>
      </c>
      <c r="C99" s="821"/>
      <c r="D99" s="250">
        <f t="shared" ref="D99:I99" si="33">C10-D98</f>
        <v>0</v>
      </c>
      <c r="E99" s="250">
        <f t="shared" si="33"/>
        <v>0</v>
      </c>
      <c r="F99" s="250">
        <f t="shared" si="33"/>
        <v>0</v>
      </c>
      <c r="G99" s="250">
        <f t="shared" si="33"/>
        <v>0</v>
      </c>
      <c r="H99" s="250">
        <f t="shared" si="33"/>
        <v>0</v>
      </c>
      <c r="I99" s="251">
        <f t="shared" si="33"/>
        <v>0</v>
      </c>
      <c r="J99" s="251">
        <f>J10-J98</f>
        <v>0</v>
      </c>
      <c r="K99" s="230">
        <f>J22-K98</f>
        <v>0</v>
      </c>
    </row>
    <row r="100" spans="2:13" s="221" customFormat="1" ht="15" customHeight="1" thickBot="1">
      <c r="B100" s="3" t="e">
        <f>DBCS(基本情報!D17)&amp;"月度"</f>
        <v>#VALUE!</v>
      </c>
      <c r="C100" s="3"/>
      <c r="D100" s="3"/>
      <c r="E100" s="3"/>
      <c r="F100" s="3"/>
      <c r="G100" s="3"/>
      <c r="H100" s="3"/>
      <c r="I100" s="3"/>
      <c r="J100" s="3"/>
      <c r="K100" s="3"/>
    </row>
    <row r="101" spans="2:13" s="3" customFormat="1" ht="15" customHeight="1">
      <c r="B101" s="814" t="s">
        <v>79</v>
      </c>
      <c r="C101" s="815"/>
      <c r="D101" s="60" t="s">
        <v>1</v>
      </c>
      <c r="E101" s="60" t="s">
        <v>2</v>
      </c>
      <c r="F101" s="60" t="s">
        <v>3</v>
      </c>
      <c r="G101" s="60" t="s">
        <v>298</v>
      </c>
      <c r="H101" s="60" t="s">
        <v>4</v>
      </c>
      <c r="I101" s="61" t="s">
        <v>81</v>
      </c>
      <c r="J101" s="61" t="s">
        <v>74</v>
      </c>
      <c r="K101" s="644" t="s">
        <v>147</v>
      </c>
      <c r="L101" s="808" t="s">
        <v>59</v>
      </c>
      <c r="M101" s="809"/>
    </row>
    <row r="102" spans="2:13" s="209" customFormat="1" ht="15" customHeight="1">
      <c r="B102" s="822" t="str">
        <f>"１．"&amp;基本情報!C20</f>
        <v>１．</v>
      </c>
      <c r="C102" s="823"/>
      <c r="D102" s="222">
        <f t="shared" ref="D102:D110" si="34">E102+F102-F84-H102-I102</f>
        <v>0</v>
      </c>
      <c r="E102" s="269"/>
      <c r="F102" s="263"/>
      <c r="G102" s="723">
        <f>H102+I102</f>
        <v>0</v>
      </c>
      <c r="H102" s="263"/>
      <c r="I102" s="263"/>
      <c r="J102" s="269"/>
      <c r="K102" s="264"/>
      <c r="L102" s="223" t="s">
        <v>143</v>
      </c>
      <c r="M102" s="264"/>
    </row>
    <row r="103" spans="2:13" s="209" customFormat="1" ht="15" customHeight="1">
      <c r="B103" s="824" t="str">
        <f>"２．"&amp;基本情報!C21</f>
        <v>２．</v>
      </c>
      <c r="C103" s="825"/>
      <c r="D103" s="224">
        <f t="shared" si="34"/>
        <v>0</v>
      </c>
      <c r="E103" s="270"/>
      <c r="F103" s="265"/>
      <c r="G103" s="724">
        <f t="shared" ref="G103:G114" si="35">H103+I103</f>
        <v>0</v>
      </c>
      <c r="H103" s="265"/>
      <c r="I103" s="265"/>
      <c r="J103" s="270"/>
      <c r="K103" s="266"/>
      <c r="L103" s="225" t="s">
        <v>75</v>
      </c>
      <c r="M103" s="266"/>
    </row>
    <row r="104" spans="2:13" s="209" customFormat="1" ht="15" customHeight="1">
      <c r="B104" s="826" t="str">
        <f>"３．"&amp;基本情報!C22</f>
        <v>３．</v>
      </c>
      <c r="C104" s="827"/>
      <c r="D104" s="224">
        <f t="shared" si="34"/>
        <v>0</v>
      </c>
      <c r="E104" s="270"/>
      <c r="F104" s="265"/>
      <c r="G104" s="724">
        <f t="shared" si="35"/>
        <v>0</v>
      </c>
      <c r="H104" s="265"/>
      <c r="I104" s="265"/>
      <c r="J104" s="270"/>
      <c r="K104" s="266"/>
      <c r="L104" s="225" t="s">
        <v>76</v>
      </c>
      <c r="M104" s="266"/>
    </row>
    <row r="105" spans="2:13" s="209" customFormat="1" ht="15" customHeight="1">
      <c r="B105" s="812" t="str">
        <f>"４．"&amp;基本情報!C23</f>
        <v>４．</v>
      </c>
      <c r="C105" s="813"/>
      <c r="D105" s="224">
        <f t="shared" si="34"/>
        <v>0</v>
      </c>
      <c r="E105" s="270"/>
      <c r="F105" s="265"/>
      <c r="G105" s="724">
        <f t="shared" si="35"/>
        <v>0</v>
      </c>
      <c r="H105" s="265"/>
      <c r="I105" s="265"/>
      <c r="J105" s="270"/>
      <c r="K105" s="266"/>
      <c r="L105" s="225" t="s">
        <v>144</v>
      </c>
      <c r="M105" s="266"/>
    </row>
    <row r="106" spans="2:13" s="209" customFormat="1" ht="15" customHeight="1">
      <c r="B106" s="812" t="str">
        <f>"５．"&amp;基本情報!C24</f>
        <v>５．</v>
      </c>
      <c r="C106" s="813"/>
      <c r="D106" s="224">
        <f t="shared" si="34"/>
        <v>0</v>
      </c>
      <c r="E106" s="270"/>
      <c r="F106" s="265"/>
      <c r="G106" s="724">
        <f t="shared" si="35"/>
        <v>0</v>
      </c>
      <c r="H106" s="265"/>
      <c r="I106" s="265"/>
      <c r="J106" s="270"/>
      <c r="K106" s="266"/>
      <c r="L106" s="226" t="s">
        <v>145</v>
      </c>
      <c r="M106" s="268"/>
    </row>
    <row r="107" spans="2:13" s="209" customFormat="1" ht="15" customHeight="1">
      <c r="B107" s="812" t="str">
        <f>"６．"&amp;基本情報!C25</f>
        <v>６．</v>
      </c>
      <c r="C107" s="813"/>
      <c r="D107" s="224">
        <f t="shared" si="34"/>
        <v>0</v>
      </c>
      <c r="E107" s="270"/>
      <c r="F107" s="265"/>
      <c r="G107" s="724">
        <f t="shared" si="35"/>
        <v>0</v>
      </c>
      <c r="H107" s="265"/>
      <c r="I107" s="265"/>
      <c r="J107" s="270"/>
      <c r="K107" s="266"/>
      <c r="L107" s="227" t="s">
        <v>146</v>
      </c>
      <c r="M107" s="228">
        <f>SUM(M102:M106)</f>
        <v>0</v>
      </c>
    </row>
    <row r="108" spans="2:13" s="209" customFormat="1" ht="15" customHeight="1" thickBot="1">
      <c r="B108" s="812" t="str">
        <f>"７．"&amp;基本情報!C26</f>
        <v>７．</v>
      </c>
      <c r="C108" s="813"/>
      <c r="D108" s="224">
        <f t="shared" si="34"/>
        <v>0</v>
      </c>
      <c r="E108" s="270"/>
      <c r="F108" s="265"/>
      <c r="G108" s="724">
        <f t="shared" si="35"/>
        <v>0</v>
      </c>
      <c r="H108" s="265"/>
      <c r="I108" s="265"/>
      <c r="J108" s="270"/>
      <c r="K108" s="266"/>
      <c r="L108" s="229" t="s">
        <v>60</v>
      </c>
      <c r="M108" s="230">
        <f>F23-M107</f>
        <v>0</v>
      </c>
    </row>
    <row r="109" spans="2:13" s="209" customFormat="1" ht="15" customHeight="1">
      <c r="B109" s="812" t="str">
        <f>"８．"&amp;基本情報!C27</f>
        <v>８．</v>
      </c>
      <c r="C109" s="813"/>
      <c r="D109" s="224">
        <f t="shared" si="34"/>
        <v>0</v>
      </c>
      <c r="E109" s="270"/>
      <c r="F109" s="265"/>
      <c r="G109" s="724">
        <f t="shared" si="35"/>
        <v>0</v>
      </c>
      <c r="H109" s="265"/>
      <c r="I109" s="265"/>
      <c r="J109" s="270"/>
      <c r="K109" s="266"/>
    </row>
    <row r="110" spans="2:13" s="209" customFormat="1" ht="15" customHeight="1">
      <c r="B110" s="812" t="str">
        <f>"９．"&amp;基本情報!C28</f>
        <v>９．</v>
      </c>
      <c r="C110" s="813"/>
      <c r="D110" s="231">
        <f t="shared" si="34"/>
        <v>0</v>
      </c>
      <c r="E110" s="270"/>
      <c r="F110" s="267"/>
      <c r="G110" s="725">
        <f t="shared" si="35"/>
        <v>0</v>
      </c>
      <c r="H110" s="267"/>
      <c r="I110" s="271"/>
      <c r="J110" s="270"/>
      <c r="K110" s="652"/>
    </row>
    <row r="111" spans="2:13" s="209" customFormat="1" ht="15" customHeight="1">
      <c r="B111" s="233" t="s">
        <v>150</v>
      </c>
      <c r="C111" s="234" t="str">
        <f>$C$39</f>
        <v>仕入値引</v>
      </c>
      <c r="D111" s="222">
        <f>-I111</f>
        <v>0</v>
      </c>
      <c r="E111" s="235"/>
      <c r="F111" s="235"/>
      <c r="G111" s="723">
        <f t="shared" si="35"/>
        <v>0</v>
      </c>
      <c r="H111" s="235"/>
      <c r="I111" s="263"/>
      <c r="J111" s="646"/>
      <c r="K111" s="264"/>
    </row>
    <row r="112" spans="2:13" s="209" customFormat="1" ht="15" customHeight="1">
      <c r="B112" s="237"/>
      <c r="C112" s="238" t="str">
        <f>$C$40</f>
        <v>仕入経費</v>
      </c>
      <c r="D112" s="224">
        <f>-I112</f>
        <v>0</v>
      </c>
      <c r="E112" s="239"/>
      <c r="F112" s="239"/>
      <c r="G112" s="724">
        <f t="shared" si="35"/>
        <v>0</v>
      </c>
      <c r="H112" s="239"/>
      <c r="I112" s="265"/>
      <c r="J112" s="647"/>
      <c r="K112" s="240"/>
    </row>
    <row r="113" spans="2:13" s="209" customFormat="1" ht="15" customHeight="1">
      <c r="B113" s="241"/>
      <c r="C113" s="238" t="str">
        <f>$C$41</f>
        <v>商品経費</v>
      </c>
      <c r="D113" s="239"/>
      <c r="E113" s="239"/>
      <c r="F113" s="239"/>
      <c r="G113" s="724">
        <f t="shared" si="35"/>
        <v>0</v>
      </c>
      <c r="H113" s="224">
        <f>-I113</f>
        <v>0</v>
      </c>
      <c r="I113" s="265"/>
      <c r="J113" s="647"/>
      <c r="K113" s="240"/>
    </row>
    <row r="114" spans="2:13" s="209" customFormat="1" ht="15" customHeight="1">
      <c r="B114" s="242"/>
      <c r="C114" s="238" t="str">
        <f>$C$42</f>
        <v>売上値引</v>
      </c>
      <c r="D114" s="655"/>
      <c r="E114" s="257">
        <f>I114</f>
        <v>0</v>
      </c>
      <c r="F114" s="655"/>
      <c r="G114" s="725">
        <f t="shared" si="35"/>
        <v>0</v>
      </c>
      <c r="H114" s="655"/>
      <c r="I114" s="271"/>
      <c r="J114" s="656"/>
      <c r="K114" s="657"/>
    </row>
    <row r="115" spans="2:13" s="209" customFormat="1" ht="15" customHeight="1">
      <c r="B115" s="658"/>
      <c r="C115" s="659" t="s">
        <v>300</v>
      </c>
      <c r="D115" s="660"/>
      <c r="E115" s="661">
        <f>SUM(E111:E114)</f>
        <v>0</v>
      </c>
      <c r="F115" s="660"/>
      <c r="G115" s="661">
        <f>SUM(G111:G114)</f>
        <v>0</v>
      </c>
      <c r="H115" s="661">
        <f>SUM(H111:H114)</f>
        <v>0</v>
      </c>
      <c r="I115" s="661">
        <f t="shared" ref="I115" si="36">SUM(I111:I114)</f>
        <v>0</v>
      </c>
      <c r="J115" s="662"/>
      <c r="K115" s="746">
        <f t="shared" ref="K115" si="37">SUM(K111:K114)</f>
        <v>0</v>
      </c>
    </row>
    <row r="116" spans="2:13" s="209" customFormat="1" ht="15" customHeight="1">
      <c r="B116" s="810" t="s">
        <v>77</v>
      </c>
      <c r="C116" s="811"/>
      <c r="D116" s="247">
        <f t="shared" ref="D116:J116" si="38">SUM(D102:D114)</f>
        <v>0</v>
      </c>
      <c r="E116" s="247">
        <f t="shared" si="38"/>
        <v>0</v>
      </c>
      <c r="F116" s="247">
        <f t="shared" si="38"/>
        <v>0</v>
      </c>
      <c r="G116" s="247">
        <f t="shared" ref="G116" si="39">SUM(G102:G114)</f>
        <v>0</v>
      </c>
      <c r="H116" s="247">
        <f t="shared" si="38"/>
        <v>0</v>
      </c>
      <c r="I116" s="248">
        <f t="shared" si="38"/>
        <v>0</v>
      </c>
      <c r="J116" s="649">
        <f t="shared" si="38"/>
        <v>0</v>
      </c>
      <c r="K116" s="249">
        <f>SUM(K102:K114)</f>
        <v>0</v>
      </c>
    </row>
    <row r="117" spans="2:13" s="209" customFormat="1" ht="15" customHeight="1" thickBot="1">
      <c r="B117" s="820" t="s">
        <v>78</v>
      </c>
      <c r="C117" s="821"/>
      <c r="D117" s="250">
        <f t="shared" ref="D117:I117" si="40">C11-D116</f>
        <v>0</v>
      </c>
      <c r="E117" s="250">
        <f t="shared" si="40"/>
        <v>0</v>
      </c>
      <c r="F117" s="250">
        <f t="shared" si="40"/>
        <v>0</v>
      </c>
      <c r="G117" s="250">
        <f t="shared" si="40"/>
        <v>0</v>
      </c>
      <c r="H117" s="250">
        <f t="shared" si="40"/>
        <v>0</v>
      </c>
      <c r="I117" s="251">
        <f t="shared" si="40"/>
        <v>0</v>
      </c>
      <c r="J117" s="251">
        <f>J11-J116</f>
        <v>0</v>
      </c>
      <c r="K117" s="230">
        <f>J23-K116</f>
        <v>0</v>
      </c>
    </row>
    <row r="118" spans="2:13" s="221" customFormat="1" ht="15" customHeight="1" thickBot="1">
      <c r="B118" s="3" t="e">
        <f>DBCS(基本情報!D18)&amp;"月度"</f>
        <v>#VALUE!</v>
      </c>
      <c r="C118" s="3"/>
      <c r="D118" s="3"/>
      <c r="E118" s="3"/>
      <c r="F118" s="3"/>
      <c r="G118" s="3"/>
      <c r="H118" s="3"/>
      <c r="I118" s="3"/>
      <c r="J118" s="3"/>
      <c r="K118" s="3"/>
    </row>
    <row r="119" spans="2:13" s="3" customFormat="1" ht="15" customHeight="1">
      <c r="B119" s="814" t="s">
        <v>79</v>
      </c>
      <c r="C119" s="815"/>
      <c r="D119" s="60" t="s">
        <v>1</v>
      </c>
      <c r="E119" s="60" t="s">
        <v>2</v>
      </c>
      <c r="F119" s="60" t="s">
        <v>3</v>
      </c>
      <c r="G119" s="60" t="s">
        <v>298</v>
      </c>
      <c r="H119" s="60" t="s">
        <v>4</v>
      </c>
      <c r="I119" s="61" t="s">
        <v>81</v>
      </c>
      <c r="J119" s="61" t="s">
        <v>74</v>
      </c>
      <c r="K119" s="644" t="s">
        <v>147</v>
      </c>
      <c r="L119" s="808" t="s">
        <v>59</v>
      </c>
      <c r="M119" s="809"/>
    </row>
    <row r="120" spans="2:13" s="209" customFormat="1" ht="15" customHeight="1">
      <c r="B120" s="822" t="str">
        <f>"１．"&amp;基本情報!C20</f>
        <v>１．</v>
      </c>
      <c r="C120" s="823"/>
      <c r="D120" s="222">
        <f t="shared" ref="D120:D128" si="41">E120+F120-F102-H120-I120</f>
        <v>0</v>
      </c>
      <c r="E120" s="269"/>
      <c r="F120" s="263"/>
      <c r="G120" s="723">
        <f>H120+I120</f>
        <v>0</v>
      </c>
      <c r="H120" s="263"/>
      <c r="I120" s="263"/>
      <c r="J120" s="269"/>
      <c r="K120" s="264"/>
      <c r="L120" s="223" t="s">
        <v>143</v>
      </c>
      <c r="M120" s="264"/>
    </row>
    <row r="121" spans="2:13" s="209" customFormat="1" ht="15" customHeight="1">
      <c r="B121" s="824" t="str">
        <f>"２．"&amp;基本情報!C21</f>
        <v>２．</v>
      </c>
      <c r="C121" s="825"/>
      <c r="D121" s="224">
        <f t="shared" si="41"/>
        <v>0</v>
      </c>
      <c r="E121" s="270"/>
      <c r="F121" s="265"/>
      <c r="G121" s="724">
        <f t="shared" ref="G121:G132" si="42">H121+I121</f>
        <v>0</v>
      </c>
      <c r="H121" s="265"/>
      <c r="I121" s="265"/>
      <c r="J121" s="270"/>
      <c r="K121" s="266"/>
      <c r="L121" s="225" t="s">
        <v>75</v>
      </c>
      <c r="M121" s="266"/>
    </row>
    <row r="122" spans="2:13" s="209" customFormat="1" ht="15" customHeight="1">
      <c r="B122" s="826" t="str">
        <f>"３．"&amp;基本情報!C22</f>
        <v>３．</v>
      </c>
      <c r="C122" s="827"/>
      <c r="D122" s="224">
        <f t="shared" si="41"/>
        <v>0</v>
      </c>
      <c r="E122" s="270"/>
      <c r="F122" s="265"/>
      <c r="G122" s="724">
        <f t="shared" si="42"/>
        <v>0</v>
      </c>
      <c r="H122" s="265"/>
      <c r="I122" s="265"/>
      <c r="J122" s="270"/>
      <c r="K122" s="266"/>
      <c r="L122" s="225" t="s">
        <v>76</v>
      </c>
      <c r="M122" s="266"/>
    </row>
    <row r="123" spans="2:13" s="209" customFormat="1" ht="15" customHeight="1">
      <c r="B123" s="812" t="str">
        <f>"４．"&amp;基本情報!C23</f>
        <v>４．</v>
      </c>
      <c r="C123" s="813"/>
      <c r="D123" s="224">
        <f t="shared" si="41"/>
        <v>0</v>
      </c>
      <c r="E123" s="270"/>
      <c r="F123" s="265"/>
      <c r="G123" s="724">
        <f t="shared" si="42"/>
        <v>0</v>
      </c>
      <c r="H123" s="265"/>
      <c r="I123" s="265"/>
      <c r="J123" s="270"/>
      <c r="K123" s="266"/>
      <c r="L123" s="225" t="s">
        <v>144</v>
      </c>
      <c r="M123" s="266"/>
    </row>
    <row r="124" spans="2:13" s="209" customFormat="1" ht="15" customHeight="1">
      <c r="B124" s="812" t="str">
        <f>"５．"&amp;基本情報!C24</f>
        <v>５．</v>
      </c>
      <c r="C124" s="813"/>
      <c r="D124" s="224">
        <f t="shared" si="41"/>
        <v>0</v>
      </c>
      <c r="E124" s="270"/>
      <c r="F124" s="265"/>
      <c r="G124" s="724">
        <f t="shared" si="42"/>
        <v>0</v>
      </c>
      <c r="H124" s="265"/>
      <c r="I124" s="265"/>
      <c r="J124" s="270"/>
      <c r="K124" s="266"/>
      <c r="L124" s="226" t="s">
        <v>145</v>
      </c>
      <c r="M124" s="268"/>
    </row>
    <row r="125" spans="2:13" s="209" customFormat="1" ht="15" customHeight="1">
      <c r="B125" s="812" t="str">
        <f>"６．"&amp;基本情報!C25</f>
        <v>６．</v>
      </c>
      <c r="C125" s="813"/>
      <c r="D125" s="224">
        <f t="shared" si="41"/>
        <v>0</v>
      </c>
      <c r="E125" s="270"/>
      <c r="F125" s="265"/>
      <c r="G125" s="724">
        <f t="shared" si="42"/>
        <v>0</v>
      </c>
      <c r="H125" s="265"/>
      <c r="I125" s="265"/>
      <c r="J125" s="270"/>
      <c r="K125" s="266"/>
      <c r="L125" s="227" t="s">
        <v>146</v>
      </c>
      <c r="M125" s="228">
        <f>SUM(M120:M124)</f>
        <v>0</v>
      </c>
    </row>
    <row r="126" spans="2:13" s="209" customFormat="1" ht="15" customHeight="1" thickBot="1">
      <c r="B126" s="812" t="str">
        <f>"７．"&amp;基本情報!C26</f>
        <v>７．</v>
      </c>
      <c r="C126" s="813"/>
      <c r="D126" s="224">
        <f t="shared" si="41"/>
        <v>0</v>
      </c>
      <c r="E126" s="270"/>
      <c r="F126" s="265"/>
      <c r="G126" s="724">
        <f t="shared" si="42"/>
        <v>0</v>
      </c>
      <c r="H126" s="265"/>
      <c r="I126" s="265"/>
      <c r="J126" s="270"/>
      <c r="K126" s="266"/>
      <c r="L126" s="229" t="s">
        <v>60</v>
      </c>
      <c r="M126" s="230">
        <f>F24-M125</f>
        <v>0</v>
      </c>
    </row>
    <row r="127" spans="2:13" s="209" customFormat="1" ht="15" customHeight="1">
      <c r="B127" s="812" t="str">
        <f>"８．"&amp;基本情報!C27</f>
        <v>８．</v>
      </c>
      <c r="C127" s="813"/>
      <c r="D127" s="224">
        <f t="shared" si="41"/>
        <v>0</v>
      </c>
      <c r="E127" s="270"/>
      <c r="F127" s="265"/>
      <c r="G127" s="724">
        <f t="shared" si="42"/>
        <v>0</v>
      </c>
      <c r="H127" s="265"/>
      <c r="I127" s="265"/>
      <c r="J127" s="270"/>
      <c r="K127" s="266"/>
    </row>
    <row r="128" spans="2:13" s="209" customFormat="1" ht="15" customHeight="1">
      <c r="B128" s="812" t="str">
        <f>"９．"&amp;基本情報!C28</f>
        <v>９．</v>
      </c>
      <c r="C128" s="813"/>
      <c r="D128" s="231">
        <f t="shared" si="41"/>
        <v>0</v>
      </c>
      <c r="E128" s="270"/>
      <c r="F128" s="267"/>
      <c r="G128" s="725">
        <f t="shared" si="42"/>
        <v>0</v>
      </c>
      <c r="H128" s="267"/>
      <c r="I128" s="271"/>
      <c r="J128" s="270"/>
      <c r="K128" s="652"/>
    </row>
    <row r="129" spans="2:13" s="209" customFormat="1" ht="15" customHeight="1">
      <c r="B129" s="233" t="s">
        <v>150</v>
      </c>
      <c r="C129" s="234" t="str">
        <f>$C$39</f>
        <v>仕入値引</v>
      </c>
      <c r="D129" s="222">
        <f>-I129</f>
        <v>0</v>
      </c>
      <c r="E129" s="235"/>
      <c r="F129" s="235"/>
      <c r="G129" s="723">
        <f t="shared" si="42"/>
        <v>0</v>
      </c>
      <c r="H129" s="235"/>
      <c r="I129" s="263"/>
      <c r="J129" s="646"/>
      <c r="K129" s="264"/>
    </row>
    <row r="130" spans="2:13" s="209" customFormat="1" ht="15" customHeight="1">
      <c r="B130" s="237"/>
      <c r="C130" s="238" t="str">
        <f>$C$40</f>
        <v>仕入経費</v>
      </c>
      <c r="D130" s="224">
        <f>-I130</f>
        <v>0</v>
      </c>
      <c r="E130" s="239"/>
      <c r="F130" s="239"/>
      <c r="G130" s="724">
        <f t="shared" si="42"/>
        <v>0</v>
      </c>
      <c r="H130" s="239"/>
      <c r="I130" s="265"/>
      <c r="J130" s="647"/>
      <c r="K130" s="240"/>
    </row>
    <row r="131" spans="2:13" s="209" customFormat="1" ht="15" customHeight="1">
      <c r="B131" s="241"/>
      <c r="C131" s="238" t="str">
        <f>$C$41</f>
        <v>商品経費</v>
      </c>
      <c r="D131" s="239"/>
      <c r="E131" s="239"/>
      <c r="F131" s="239"/>
      <c r="G131" s="724">
        <f t="shared" si="42"/>
        <v>0</v>
      </c>
      <c r="H131" s="224">
        <f>-I131</f>
        <v>0</v>
      </c>
      <c r="I131" s="265"/>
      <c r="J131" s="647"/>
      <c r="K131" s="240"/>
    </row>
    <row r="132" spans="2:13" s="209" customFormat="1" ht="15" customHeight="1">
      <c r="B132" s="242"/>
      <c r="C132" s="238" t="str">
        <f>$C$42</f>
        <v>売上値引</v>
      </c>
      <c r="D132" s="655"/>
      <c r="E132" s="257">
        <f>I132</f>
        <v>0</v>
      </c>
      <c r="F132" s="655"/>
      <c r="G132" s="725">
        <f t="shared" si="42"/>
        <v>0</v>
      </c>
      <c r="H132" s="655"/>
      <c r="I132" s="271"/>
      <c r="J132" s="656"/>
      <c r="K132" s="657"/>
    </row>
    <row r="133" spans="2:13" s="209" customFormat="1" ht="15" customHeight="1">
      <c r="B133" s="658"/>
      <c r="C133" s="659" t="s">
        <v>300</v>
      </c>
      <c r="D133" s="660"/>
      <c r="E133" s="661">
        <f>SUM(E129:E132)</f>
        <v>0</v>
      </c>
      <c r="F133" s="660"/>
      <c r="G133" s="661">
        <f>SUM(G129:G132)</f>
        <v>0</v>
      </c>
      <c r="H133" s="661">
        <f>SUM(H129:H132)</f>
        <v>0</v>
      </c>
      <c r="I133" s="661">
        <f t="shared" ref="I133" si="43">SUM(I129:I132)</f>
        <v>0</v>
      </c>
      <c r="J133" s="662"/>
      <c r="K133" s="746">
        <f t="shared" ref="K133" si="44">SUM(K129:K132)</f>
        <v>0</v>
      </c>
    </row>
    <row r="134" spans="2:13" s="209" customFormat="1" ht="15" customHeight="1">
      <c r="B134" s="810" t="s">
        <v>77</v>
      </c>
      <c r="C134" s="811"/>
      <c r="D134" s="247">
        <f t="shared" ref="D134:J134" si="45">SUM(D120:D132)</f>
        <v>0</v>
      </c>
      <c r="E134" s="247">
        <f t="shared" si="45"/>
        <v>0</v>
      </c>
      <c r="F134" s="247">
        <f t="shared" si="45"/>
        <v>0</v>
      </c>
      <c r="G134" s="247">
        <f t="shared" ref="G134" si="46">SUM(G120:G132)</f>
        <v>0</v>
      </c>
      <c r="H134" s="247">
        <f t="shared" si="45"/>
        <v>0</v>
      </c>
      <c r="I134" s="248">
        <f t="shared" si="45"/>
        <v>0</v>
      </c>
      <c r="J134" s="649">
        <f t="shared" si="45"/>
        <v>0</v>
      </c>
      <c r="K134" s="249">
        <f>SUM(K120:K132)</f>
        <v>0</v>
      </c>
    </row>
    <row r="135" spans="2:13" s="209" customFormat="1" ht="15" customHeight="1" thickBot="1">
      <c r="B135" s="820" t="s">
        <v>78</v>
      </c>
      <c r="C135" s="821"/>
      <c r="D135" s="250">
        <f t="shared" ref="D135:I135" si="47">C12-D134</f>
        <v>0</v>
      </c>
      <c r="E135" s="250">
        <f t="shared" si="47"/>
        <v>0</v>
      </c>
      <c r="F135" s="250">
        <f t="shared" si="47"/>
        <v>0</v>
      </c>
      <c r="G135" s="250">
        <f>F12-G134</f>
        <v>0</v>
      </c>
      <c r="H135" s="250">
        <f t="shared" si="47"/>
        <v>0</v>
      </c>
      <c r="I135" s="251">
        <f t="shared" si="47"/>
        <v>0</v>
      </c>
      <c r="J135" s="251">
        <f>J12-J134</f>
        <v>0</v>
      </c>
      <c r="K135" s="230">
        <f>J24-K134</f>
        <v>0</v>
      </c>
    </row>
    <row r="136" spans="2:13" s="3" customFormat="1" ht="15" customHeight="1">
      <c r="B136" s="252"/>
      <c r="C136" s="252"/>
      <c r="D136" s="253"/>
      <c r="E136" s="253"/>
      <c r="F136" s="253"/>
      <c r="G136" s="253"/>
      <c r="H136" s="253"/>
      <c r="I136" s="253"/>
      <c r="J136" s="253"/>
    </row>
    <row r="137" spans="2:13" s="3" customFormat="1" ht="15" customHeight="1">
      <c r="B137" s="252"/>
      <c r="C137" s="252"/>
      <c r="D137" s="253"/>
      <c r="E137" s="253"/>
      <c r="F137" s="253"/>
      <c r="G137" s="253"/>
      <c r="H137" s="253"/>
      <c r="I137" s="253"/>
      <c r="J137" s="253"/>
    </row>
    <row r="138" spans="2:13" s="3" customFormat="1" ht="15" customHeight="1"/>
    <row r="139" spans="2:13" s="3" customFormat="1" ht="15" customHeight="1" thickBot="1">
      <c r="B139" s="254" t="s">
        <v>82</v>
      </c>
      <c r="K139" s="59"/>
    </row>
    <row r="140" spans="2:13" s="3" customFormat="1" ht="15" customHeight="1">
      <c r="B140" s="814" t="s">
        <v>79</v>
      </c>
      <c r="C140" s="815"/>
      <c r="D140" s="60" t="s">
        <v>1</v>
      </c>
      <c r="E140" s="60" t="s">
        <v>2</v>
      </c>
      <c r="F140" s="60" t="s">
        <v>3</v>
      </c>
      <c r="G140" s="60" t="s">
        <v>298</v>
      </c>
      <c r="H140" s="60" t="s">
        <v>4</v>
      </c>
      <c r="I140" s="61" t="s">
        <v>81</v>
      </c>
      <c r="J140" s="61" t="s">
        <v>74</v>
      </c>
      <c r="K140" s="644" t="s">
        <v>147</v>
      </c>
      <c r="L140" s="808" t="s">
        <v>59</v>
      </c>
      <c r="M140" s="809"/>
    </row>
    <row r="141" spans="2:13" s="209" customFormat="1" ht="15" customHeight="1">
      <c r="B141" s="822" t="str">
        <f>"１．"&amp;基本情報!C20</f>
        <v>１．</v>
      </c>
      <c r="C141" s="823"/>
      <c r="D141" s="222">
        <f t="shared" ref="D141:E149" si="48">D30+D48+D66+D84+D102+D120</f>
        <v>0</v>
      </c>
      <c r="E141" s="222">
        <f t="shared" si="48"/>
        <v>0</v>
      </c>
      <c r="F141" s="222">
        <f t="shared" ref="F141:F149" si="49">F120</f>
        <v>0</v>
      </c>
      <c r="G141" s="723">
        <f>H141+I141</f>
        <v>0</v>
      </c>
      <c r="H141" s="222">
        <f t="shared" ref="H141:K149" si="50">H30+H48+H66+H84+H102+H120</f>
        <v>0</v>
      </c>
      <c r="I141" s="222">
        <f t="shared" si="50"/>
        <v>0</v>
      </c>
      <c r="J141" s="650">
        <f t="shared" si="50"/>
        <v>0</v>
      </c>
      <c r="K141" s="232">
        <f t="shared" si="50"/>
        <v>0</v>
      </c>
      <c r="L141" s="223" t="s">
        <v>143</v>
      </c>
      <c r="M141" s="232">
        <f>M30+M48+M66+M84+M102+M120</f>
        <v>0</v>
      </c>
    </row>
    <row r="142" spans="2:13" s="209" customFormat="1" ht="15" customHeight="1">
      <c r="B142" s="824" t="str">
        <f>"２．"&amp;基本情報!C21</f>
        <v>２．</v>
      </c>
      <c r="C142" s="825"/>
      <c r="D142" s="224">
        <f t="shared" si="48"/>
        <v>0</v>
      </c>
      <c r="E142" s="224">
        <f t="shared" si="48"/>
        <v>0</v>
      </c>
      <c r="F142" s="224">
        <f t="shared" si="49"/>
        <v>0</v>
      </c>
      <c r="G142" s="724">
        <f t="shared" ref="G142:G153" si="51">H142+I142</f>
        <v>0</v>
      </c>
      <c r="H142" s="224">
        <f t="shared" si="50"/>
        <v>0</v>
      </c>
      <c r="I142" s="224">
        <f t="shared" si="50"/>
        <v>0</v>
      </c>
      <c r="J142" s="256">
        <f t="shared" si="50"/>
        <v>0</v>
      </c>
      <c r="K142" s="255">
        <f t="shared" si="50"/>
        <v>0</v>
      </c>
      <c r="L142" s="225" t="s">
        <v>75</v>
      </c>
      <c r="M142" s="255">
        <f>M31+M49+M67+M85+M103+M121</f>
        <v>0</v>
      </c>
    </row>
    <row r="143" spans="2:13" s="209" customFormat="1" ht="15" customHeight="1">
      <c r="B143" s="826" t="str">
        <f>"３．"&amp;基本情報!C22</f>
        <v>３．</v>
      </c>
      <c r="C143" s="827"/>
      <c r="D143" s="224">
        <f t="shared" si="48"/>
        <v>0</v>
      </c>
      <c r="E143" s="224">
        <f t="shared" si="48"/>
        <v>0</v>
      </c>
      <c r="F143" s="224">
        <f t="shared" si="49"/>
        <v>0</v>
      </c>
      <c r="G143" s="724">
        <f t="shared" si="51"/>
        <v>0</v>
      </c>
      <c r="H143" s="224">
        <f t="shared" si="50"/>
        <v>0</v>
      </c>
      <c r="I143" s="224">
        <f t="shared" si="50"/>
        <v>0</v>
      </c>
      <c r="J143" s="256">
        <f t="shared" si="50"/>
        <v>0</v>
      </c>
      <c r="K143" s="255">
        <f t="shared" si="50"/>
        <v>0</v>
      </c>
      <c r="L143" s="225" t="s">
        <v>76</v>
      </c>
      <c r="M143" s="255">
        <f>M32+M50+M68+M86+M104+M122</f>
        <v>0</v>
      </c>
    </row>
    <row r="144" spans="2:13" s="209" customFormat="1" ht="15" customHeight="1">
      <c r="B144" s="812" t="str">
        <f>"４．"&amp;基本情報!C23</f>
        <v>４．</v>
      </c>
      <c r="C144" s="813"/>
      <c r="D144" s="224">
        <f t="shared" si="48"/>
        <v>0</v>
      </c>
      <c r="E144" s="224">
        <f t="shared" si="48"/>
        <v>0</v>
      </c>
      <c r="F144" s="224">
        <f t="shared" si="49"/>
        <v>0</v>
      </c>
      <c r="G144" s="724">
        <f t="shared" si="51"/>
        <v>0</v>
      </c>
      <c r="H144" s="224">
        <f t="shared" si="50"/>
        <v>0</v>
      </c>
      <c r="I144" s="256">
        <f t="shared" si="50"/>
        <v>0</v>
      </c>
      <c r="J144" s="256">
        <f t="shared" si="50"/>
        <v>0</v>
      </c>
      <c r="K144" s="255">
        <f t="shared" si="50"/>
        <v>0</v>
      </c>
      <c r="L144" s="225" t="s">
        <v>144</v>
      </c>
      <c r="M144" s="255">
        <f>M33+M51+M69+M87+M105+M123</f>
        <v>0</v>
      </c>
    </row>
    <row r="145" spans="2:13" s="209" customFormat="1" ht="15" customHeight="1">
      <c r="B145" s="812" t="str">
        <f>"５．"&amp;基本情報!C24</f>
        <v>５．</v>
      </c>
      <c r="C145" s="813"/>
      <c r="D145" s="224">
        <f t="shared" si="48"/>
        <v>0</v>
      </c>
      <c r="E145" s="224">
        <f t="shared" si="48"/>
        <v>0</v>
      </c>
      <c r="F145" s="224">
        <f t="shared" si="49"/>
        <v>0</v>
      </c>
      <c r="G145" s="724">
        <f t="shared" si="51"/>
        <v>0</v>
      </c>
      <c r="H145" s="224">
        <f t="shared" si="50"/>
        <v>0</v>
      </c>
      <c r="I145" s="256">
        <f t="shared" si="50"/>
        <v>0</v>
      </c>
      <c r="J145" s="256">
        <f t="shared" si="50"/>
        <v>0</v>
      </c>
      <c r="K145" s="255">
        <f t="shared" si="50"/>
        <v>0</v>
      </c>
      <c r="L145" s="226" t="s">
        <v>145</v>
      </c>
      <c r="M145" s="236">
        <f>M34+M52+M70+M88+M106+M124</f>
        <v>0</v>
      </c>
    </row>
    <row r="146" spans="2:13" s="209" customFormat="1" ht="15" customHeight="1">
      <c r="B146" s="812" t="str">
        <f>"６．"&amp;基本情報!C25</f>
        <v>６．</v>
      </c>
      <c r="C146" s="813"/>
      <c r="D146" s="224">
        <f t="shared" si="48"/>
        <v>0</v>
      </c>
      <c r="E146" s="224">
        <f t="shared" si="48"/>
        <v>0</v>
      </c>
      <c r="F146" s="224">
        <f t="shared" si="49"/>
        <v>0</v>
      </c>
      <c r="G146" s="724">
        <f t="shared" si="51"/>
        <v>0</v>
      </c>
      <c r="H146" s="224">
        <f t="shared" si="50"/>
        <v>0</v>
      </c>
      <c r="I146" s="256">
        <f t="shared" si="50"/>
        <v>0</v>
      </c>
      <c r="J146" s="256">
        <f t="shared" si="50"/>
        <v>0</v>
      </c>
      <c r="K146" s="255">
        <f t="shared" si="50"/>
        <v>0</v>
      </c>
      <c r="L146" s="227" t="s">
        <v>146</v>
      </c>
      <c r="M146" s="228">
        <f>SUM(M141:M145)</f>
        <v>0</v>
      </c>
    </row>
    <row r="147" spans="2:13" s="209" customFormat="1" ht="15" customHeight="1" thickBot="1">
      <c r="B147" s="812" t="str">
        <f>"７．"&amp;基本情報!C26</f>
        <v>７．</v>
      </c>
      <c r="C147" s="813"/>
      <c r="D147" s="224">
        <f t="shared" si="48"/>
        <v>0</v>
      </c>
      <c r="E147" s="224">
        <f t="shared" si="48"/>
        <v>0</v>
      </c>
      <c r="F147" s="224">
        <f t="shared" si="49"/>
        <v>0</v>
      </c>
      <c r="G147" s="724">
        <f t="shared" si="51"/>
        <v>0</v>
      </c>
      <c r="H147" s="224">
        <f t="shared" si="50"/>
        <v>0</v>
      </c>
      <c r="I147" s="256">
        <f t="shared" si="50"/>
        <v>0</v>
      </c>
      <c r="J147" s="256">
        <f t="shared" si="50"/>
        <v>0</v>
      </c>
      <c r="K147" s="255">
        <f t="shared" si="50"/>
        <v>0</v>
      </c>
      <c r="L147" s="229" t="s">
        <v>60</v>
      </c>
      <c r="M147" s="230">
        <f>F25-M146</f>
        <v>0</v>
      </c>
    </row>
    <row r="148" spans="2:13" s="209" customFormat="1" ht="15" customHeight="1">
      <c r="B148" s="812" t="str">
        <f>"８．"&amp;基本情報!C27</f>
        <v>８．</v>
      </c>
      <c r="C148" s="813"/>
      <c r="D148" s="224">
        <f t="shared" si="48"/>
        <v>0</v>
      </c>
      <c r="E148" s="224">
        <f t="shared" si="48"/>
        <v>0</v>
      </c>
      <c r="F148" s="224">
        <f t="shared" si="49"/>
        <v>0</v>
      </c>
      <c r="G148" s="724">
        <f t="shared" si="51"/>
        <v>0</v>
      </c>
      <c r="H148" s="224">
        <f t="shared" si="50"/>
        <v>0</v>
      </c>
      <c r="I148" s="256">
        <f t="shared" si="50"/>
        <v>0</v>
      </c>
      <c r="J148" s="256">
        <f t="shared" si="50"/>
        <v>0</v>
      </c>
      <c r="K148" s="255">
        <f t="shared" si="50"/>
        <v>0</v>
      </c>
    </row>
    <row r="149" spans="2:13" s="209" customFormat="1" ht="15" customHeight="1">
      <c r="B149" s="816" t="str">
        <f>"９．"&amp;基本情報!C28</f>
        <v>９．</v>
      </c>
      <c r="C149" s="817"/>
      <c r="D149" s="257">
        <f t="shared" si="48"/>
        <v>0</v>
      </c>
      <c r="E149" s="258">
        <f t="shared" si="48"/>
        <v>0</v>
      </c>
      <c r="F149" s="258">
        <f t="shared" si="49"/>
        <v>0</v>
      </c>
      <c r="G149" s="725">
        <f t="shared" si="51"/>
        <v>0</v>
      </c>
      <c r="H149" s="258">
        <f t="shared" si="50"/>
        <v>0</v>
      </c>
      <c r="I149" s="259">
        <f t="shared" si="50"/>
        <v>0</v>
      </c>
      <c r="J149" s="651">
        <f t="shared" si="50"/>
        <v>0</v>
      </c>
      <c r="K149" s="255">
        <f t="shared" si="50"/>
        <v>0</v>
      </c>
    </row>
    <row r="150" spans="2:13" s="209" customFormat="1" ht="15" customHeight="1">
      <c r="B150" s="233" t="s">
        <v>150</v>
      </c>
      <c r="C150" s="234" t="str">
        <f>$C$39</f>
        <v>仕入値引</v>
      </c>
      <c r="D150" s="222">
        <f>D39+D57+D75+D93+D111+D129</f>
        <v>0</v>
      </c>
      <c r="E150" s="235"/>
      <c r="F150" s="235"/>
      <c r="G150" s="723">
        <f t="shared" si="51"/>
        <v>0</v>
      </c>
      <c r="H150" s="235"/>
      <c r="I150" s="222">
        <f>I39+I57+I75+I93+I111+I129</f>
        <v>0</v>
      </c>
      <c r="J150" s="646"/>
      <c r="K150" s="232">
        <f>K39+K57+K75+K93+K111+K129</f>
        <v>0</v>
      </c>
    </row>
    <row r="151" spans="2:13" s="209" customFormat="1" ht="15" customHeight="1">
      <c r="B151" s="237"/>
      <c r="C151" s="238" t="str">
        <f>$C$40</f>
        <v>仕入経費</v>
      </c>
      <c r="D151" s="224">
        <f>D40+D58+D76+D94+D112+D130</f>
        <v>0</v>
      </c>
      <c r="E151" s="239"/>
      <c r="F151" s="239"/>
      <c r="G151" s="724">
        <f t="shared" si="51"/>
        <v>0</v>
      </c>
      <c r="H151" s="239"/>
      <c r="I151" s="256">
        <f>I40+I58+I76+I94+I112+I130</f>
        <v>0</v>
      </c>
      <c r="J151" s="647"/>
      <c r="K151" s="240"/>
    </row>
    <row r="152" spans="2:13" s="209" customFormat="1" ht="15" customHeight="1">
      <c r="B152" s="241"/>
      <c r="C152" s="238" t="str">
        <f>$C$41</f>
        <v>商品経費</v>
      </c>
      <c r="D152" s="239"/>
      <c r="E152" s="239"/>
      <c r="F152" s="239"/>
      <c r="G152" s="724">
        <f t="shared" si="51"/>
        <v>0</v>
      </c>
      <c r="H152" s="224">
        <f>H41+H59+H77+H95+H113+H131</f>
        <v>0</v>
      </c>
      <c r="I152" s="256">
        <f>I41+I59+I77+I95+I113+I131</f>
        <v>0</v>
      </c>
      <c r="J152" s="647"/>
      <c r="K152" s="240"/>
    </row>
    <row r="153" spans="2:13" s="209" customFormat="1" ht="15" customHeight="1">
      <c r="B153" s="242"/>
      <c r="C153" s="238" t="str">
        <f>$C$42</f>
        <v>売上値引</v>
      </c>
      <c r="D153" s="244"/>
      <c r="E153" s="245">
        <f>E42+E60+E78+E96+E114+E132</f>
        <v>0</v>
      </c>
      <c r="F153" s="244"/>
      <c r="G153" s="725">
        <f t="shared" si="51"/>
        <v>0</v>
      </c>
      <c r="H153" s="244"/>
      <c r="I153" s="260">
        <f>I42+I60+I78+I96+I114+I132</f>
        <v>0</v>
      </c>
      <c r="J153" s="648"/>
      <c r="K153" s="246"/>
    </row>
    <row r="154" spans="2:13" s="209" customFormat="1" ht="15" customHeight="1">
      <c r="B154" s="658"/>
      <c r="C154" s="659" t="s">
        <v>300</v>
      </c>
      <c r="D154" s="660"/>
      <c r="E154" s="661">
        <f>SUM(E150:E153)</f>
        <v>0</v>
      </c>
      <c r="F154" s="660"/>
      <c r="G154" s="661">
        <f>SUM(G150:G153)</f>
        <v>0</v>
      </c>
      <c r="H154" s="661">
        <f>SUM(H150:H153)</f>
        <v>0</v>
      </c>
      <c r="I154" s="661">
        <f t="shared" ref="I154" si="52">SUM(I150:I153)</f>
        <v>0</v>
      </c>
      <c r="J154" s="662"/>
      <c r="K154" s="746">
        <f t="shared" ref="K154" si="53">SUM(K150:K153)</f>
        <v>0</v>
      </c>
    </row>
    <row r="155" spans="2:13" s="209" customFormat="1" ht="15" customHeight="1">
      <c r="B155" s="810" t="s">
        <v>77</v>
      </c>
      <c r="C155" s="811"/>
      <c r="D155" s="247">
        <f t="shared" ref="D155:J155" si="54">SUM(D141:D153)</f>
        <v>0</v>
      </c>
      <c r="E155" s="247">
        <f t="shared" si="54"/>
        <v>0</v>
      </c>
      <c r="F155" s="247">
        <f t="shared" si="54"/>
        <v>0</v>
      </c>
      <c r="G155" s="247">
        <f t="shared" ref="G155" si="55">SUM(G141:G153)</f>
        <v>0</v>
      </c>
      <c r="H155" s="247">
        <f t="shared" si="54"/>
        <v>0</v>
      </c>
      <c r="I155" s="248">
        <f t="shared" si="54"/>
        <v>0</v>
      </c>
      <c r="J155" s="649">
        <f t="shared" si="54"/>
        <v>0</v>
      </c>
      <c r="K155" s="249">
        <f>SUM(K141:K153)</f>
        <v>0</v>
      </c>
    </row>
    <row r="156" spans="2:13" s="209" customFormat="1" ht="15" customHeight="1" thickBot="1">
      <c r="B156" s="820" t="s">
        <v>78</v>
      </c>
      <c r="C156" s="821"/>
      <c r="D156" s="250">
        <f t="shared" ref="D156:I156" si="56">C13-D155</f>
        <v>0</v>
      </c>
      <c r="E156" s="250">
        <f t="shared" si="56"/>
        <v>0</v>
      </c>
      <c r="F156" s="250">
        <f t="shared" si="56"/>
        <v>0</v>
      </c>
      <c r="G156" s="250">
        <f t="shared" si="56"/>
        <v>0</v>
      </c>
      <c r="H156" s="250">
        <f t="shared" si="56"/>
        <v>0</v>
      </c>
      <c r="I156" s="251">
        <f t="shared" si="56"/>
        <v>0</v>
      </c>
      <c r="J156" s="251">
        <f>J13-J155</f>
        <v>0</v>
      </c>
      <c r="K156" s="230">
        <f>J25-K155</f>
        <v>0</v>
      </c>
    </row>
    <row r="157" spans="2:13" s="3" customFormat="1" ht="12"/>
    <row r="158" spans="2:13" s="3" customFormat="1" ht="12"/>
    <row r="159" spans="2:13" s="3" customFormat="1" ht="12"/>
    <row r="160" spans="2:13" s="3" customFormat="1" ht="12"/>
    <row r="161" s="3" customFormat="1" ht="12"/>
    <row r="162" s="3" customFormat="1" ht="12"/>
    <row r="163" s="3" customFormat="1" ht="12"/>
    <row r="164" s="3" customFormat="1" ht="12"/>
    <row r="165" s="3" customFormat="1" ht="12"/>
    <row r="166" s="3" customFormat="1" ht="12"/>
    <row r="167" s="3" customFormat="1" ht="12"/>
    <row r="168" s="3" customFormat="1" ht="12"/>
    <row r="169" s="3" customFormat="1" ht="12"/>
    <row r="170" s="3" customFormat="1" ht="12"/>
    <row r="171" s="3" customFormat="1" ht="12"/>
    <row r="172" s="3" customFormat="1" ht="12"/>
    <row r="173" s="3" customFormat="1" ht="12"/>
    <row r="174" s="3" customFormat="1" ht="12"/>
    <row r="175" s="3" customFormat="1" ht="12"/>
    <row r="176" s="3" customFormat="1" ht="12"/>
    <row r="177" s="3" customFormat="1" ht="12"/>
    <row r="178" s="3" customFormat="1" ht="12"/>
    <row r="179" s="3" customFormat="1" ht="12"/>
    <row r="180" s="3" customFormat="1" ht="12"/>
    <row r="181" s="3" customFormat="1" ht="12"/>
    <row r="182" s="3" customFormat="1" ht="12"/>
    <row r="183" s="3" customFormat="1" ht="12"/>
    <row r="184" s="3" customFormat="1" ht="12"/>
    <row r="185" s="3" customFormat="1" ht="12"/>
    <row r="186" s="3" customFormat="1" ht="12"/>
    <row r="187" s="3" customFormat="1" ht="12"/>
    <row r="188" s="3" customFormat="1" ht="12"/>
    <row r="189" s="3" customFormat="1" ht="12"/>
    <row r="190" s="3" customFormat="1" ht="12"/>
    <row r="191" s="3" customFormat="1" ht="12"/>
    <row r="192" s="3" customFormat="1" ht="12"/>
    <row r="193" s="3" customFormat="1" ht="12"/>
    <row r="194" s="3" customFormat="1" ht="12"/>
    <row r="195" s="3" customFormat="1" ht="12"/>
    <row r="196" s="3" customFormat="1" ht="12"/>
    <row r="197" s="3" customFormat="1" ht="12"/>
    <row r="198" s="3" customFormat="1" ht="12"/>
    <row r="199" s="3" customFormat="1" ht="12"/>
    <row r="200" s="3" customFormat="1" ht="12"/>
    <row r="201" s="3" customFormat="1" ht="12"/>
    <row r="202" s="3" customFormat="1" ht="12"/>
  </sheetData>
  <sheetProtection algorithmName="SHA-512" hashValue="1tg3dYbzR2vpWS5FjWvGbN5R7S3GS5Fdl9nthYdT9O6wgjFf9ZLzud4kyUekLEGyhGO82A6hSHZXA0pMFV5sqA==" saltValue="+zAR2oagv4Z9gtj2XAioHA==" spinCount="100000" sheet="1" objects="1" scenarios="1"/>
  <mergeCells count="94">
    <mergeCell ref="D3:E3"/>
    <mergeCell ref="B84:C84"/>
    <mergeCell ref="B32:C32"/>
    <mergeCell ref="B33:C33"/>
    <mergeCell ref="B49:C49"/>
    <mergeCell ref="B36:C36"/>
    <mergeCell ref="B37:C37"/>
    <mergeCell ref="B38:C38"/>
    <mergeCell ref="B45:C45"/>
    <mergeCell ref="B44:C44"/>
    <mergeCell ref="B67:C67"/>
    <mergeCell ref="B54:C54"/>
    <mergeCell ref="B55:C55"/>
    <mergeCell ref="B56:C56"/>
    <mergeCell ref="B62:C62"/>
    <mergeCell ref="B66:C66"/>
    <mergeCell ref="B156:C156"/>
    <mergeCell ref="B34:C34"/>
    <mergeCell ref="B35:C35"/>
    <mergeCell ref="B30:C30"/>
    <mergeCell ref="B31:C31"/>
    <mergeCell ref="B65:C65"/>
    <mergeCell ref="B48:C48"/>
    <mergeCell ref="B52:C52"/>
    <mergeCell ref="B53:C53"/>
    <mergeCell ref="B63:C63"/>
    <mergeCell ref="B50:C50"/>
    <mergeCell ref="B51:C51"/>
    <mergeCell ref="B68:C68"/>
    <mergeCell ref="B69:C69"/>
    <mergeCell ref="B70:C70"/>
    <mergeCell ref="B71:C71"/>
    <mergeCell ref="B72:C72"/>
    <mergeCell ref="B73:C73"/>
    <mergeCell ref="B74:C74"/>
    <mergeCell ref="B80:C80"/>
    <mergeCell ref="B83:C83"/>
    <mergeCell ref="B81:C81"/>
    <mergeCell ref="B89:C89"/>
    <mergeCell ref="B104:C104"/>
    <mergeCell ref="B105:C105"/>
    <mergeCell ref="B106:C106"/>
    <mergeCell ref="B85:C85"/>
    <mergeCell ref="B90:C90"/>
    <mergeCell ref="B91:C91"/>
    <mergeCell ref="B92:C92"/>
    <mergeCell ref="B141:C141"/>
    <mergeCell ref="B142:C142"/>
    <mergeCell ref="B143:C143"/>
    <mergeCell ref="B107:C107"/>
    <mergeCell ref="B99:C99"/>
    <mergeCell ref="B102:C102"/>
    <mergeCell ref="B103:C103"/>
    <mergeCell ref="B134:C134"/>
    <mergeCell ref="B122:C122"/>
    <mergeCell ref="B123:C123"/>
    <mergeCell ref="B124:C124"/>
    <mergeCell ref="B125:C125"/>
    <mergeCell ref="B127:C127"/>
    <mergeCell ref="B126:C126"/>
    <mergeCell ref="B128:C128"/>
    <mergeCell ref="B117:C117"/>
    <mergeCell ref="B109:C109"/>
    <mergeCell ref="H3:I3"/>
    <mergeCell ref="F3:G3"/>
    <mergeCell ref="B135:C135"/>
    <mergeCell ref="B29:C29"/>
    <mergeCell ref="B47:C47"/>
    <mergeCell ref="B120:C120"/>
    <mergeCell ref="B121:C121"/>
    <mergeCell ref="B119:C119"/>
    <mergeCell ref="B110:C110"/>
    <mergeCell ref="B116:C116"/>
    <mergeCell ref="B98:C98"/>
    <mergeCell ref="B101:C101"/>
    <mergeCell ref="B86:C86"/>
    <mergeCell ref="B87:C87"/>
    <mergeCell ref="B88:C88"/>
    <mergeCell ref="L29:M29"/>
    <mergeCell ref="L83:M83"/>
    <mergeCell ref="B155:C155"/>
    <mergeCell ref="B144:C144"/>
    <mergeCell ref="B145:C145"/>
    <mergeCell ref="B146:C146"/>
    <mergeCell ref="B147:C147"/>
    <mergeCell ref="B148:C148"/>
    <mergeCell ref="L140:M140"/>
    <mergeCell ref="L47:M47"/>
    <mergeCell ref="L65:M65"/>
    <mergeCell ref="L101:M101"/>
    <mergeCell ref="L119:M119"/>
    <mergeCell ref="B140:C140"/>
    <mergeCell ref="B149:C149"/>
    <mergeCell ref="B108:C108"/>
  </mergeCells>
  <phoneticPr fontId="3"/>
  <printOptions horizontalCentered="1"/>
  <pageMargins left="0" right="0" top="0.39370078740157483" bottom="0" header="0.31496062992125984" footer="0.19685039370078741"/>
  <pageSetup paperSize="9" scale="70" fitToHeight="2" orientation="portrait" blackAndWhite="1" r:id="rId1"/>
  <headerFooter alignWithMargins="0"/>
  <rowBreaks count="1" manualBreakCount="1">
    <brk id="81" max="14" man="1"/>
  </rowBreaks>
  <ignoredErrors>
    <ignoredError sqref="F141:F143 F144:F149" formula="1"/>
    <ignoredError sqref="G30:G3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61" r:id="rId4" name="Button 13">
              <controlPr defaultSize="0" print="0" autoFill="0" autoPict="0" macro="[0]!DataImport_Click">
                <anchor moveWithCells="1" sizeWithCells="1">
                  <from>
                    <xdr:col>2</xdr:col>
                    <xdr:colOff>0</xdr:colOff>
                    <xdr:row>0</xdr:row>
                    <xdr:rowOff>45720</xdr:rowOff>
                  </from>
                  <to>
                    <xdr:col>3</xdr:col>
                    <xdr:colOff>30480</xdr:colOff>
                    <xdr:row>0</xdr:row>
                    <xdr:rowOff>289560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4E32F-3B43-4816-A34D-3E36DBA5F3AE}">
  <sheetPr codeName="Sheet21"/>
  <dimension ref="A1:T33"/>
  <sheetViews>
    <sheetView showGridLines="0" workbookViewId="0"/>
  </sheetViews>
  <sheetFormatPr defaultColWidth="9" defaultRowHeight="13.2"/>
  <cols>
    <col min="1" max="1" width="0.77734375" style="3" customWidth="1"/>
    <col min="2" max="2" width="2.77734375" style="3" customWidth="1"/>
    <col min="3" max="3" width="0.77734375" style="3" customWidth="1"/>
    <col min="4" max="4" width="10.21875" style="3" customWidth="1"/>
    <col min="5" max="5" width="0.77734375" style="3" customWidth="1"/>
    <col min="6" max="17" width="9.109375" style="3" customWidth="1"/>
    <col min="18" max="19" width="10.77734375" style="3" customWidth="1"/>
    <col min="20" max="16384" width="9" style="111"/>
  </cols>
  <sheetData>
    <row r="1" spans="2:20" ht="18" customHeight="1">
      <c r="D1" s="91" t="str">
        <f>"第"&amp;基本情報!C11&amp;"期"</f>
        <v>第期</v>
      </c>
      <c r="E1" s="272"/>
      <c r="F1" s="273" t="e">
        <f>LEFT(基本情報!C13,4) &amp; "年" &amp; MID(基本情報!C13,5,2) &amp; "月～" &amp; LEFT(基本情報!C18,4) &amp; "年" &amp; MID(基本情報!C18,5,2) &amp; "月"</f>
        <v>#VALUE!</v>
      </c>
      <c r="G1" s="4"/>
      <c r="H1" s="4"/>
      <c r="I1" s="4" t="s">
        <v>159</v>
      </c>
      <c r="J1" s="4"/>
      <c r="K1" s="4"/>
      <c r="S1" s="95" t="s">
        <v>48</v>
      </c>
    </row>
    <row r="2" spans="2:20" ht="18" customHeight="1">
      <c r="Q2" s="5" t="s">
        <v>160</v>
      </c>
      <c r="R2" s="5" t="s">
        <v>10</v>
      </c>
      <c r="S2" s="5" t="s">
        <v>11</v>
      </c>
      <c r="T2" s="3"/>
    </row>
    <row r="3" spans="2:20" ht="18" customHeight="1">
      <c r="F3" s="6" t="s">
        <v>12</v>
      </c>
      <c r="G3" s="828">
        <f>基本情報!C4</f>
        <v>0</v>
      </c>
      <c r="H3" s="828"/>
      <c r="I3" s="828">
        <f>基本情報!C6</f>
        <v>0</v>
      </c>
      <c r="J3" s="828"/>
      <c r="K3" s="829" t="str">
        <f>基本情報!C8&amp;"・"&amp;基本情報!C7</f>
        <v>・</v>
      </c>
      <c r="L3" s="829"/>
      <c r="M3" s="829"/>
      <c r="Q3" s="278"/>
      <c r="R3" s="278"/>
      <c r="S3" s="278"/>
      <c r="T3" s="3"/>
    </row>
    <row r="4" spans="2:20" ht="18" customHeight="1">
      <c r="D4" s="7" t="s">
        <v>13</v>
      </c>
      <c r="Q4" s="277"/>
      <c r="R4" s="277"/>
      <c r="S4" s="277"/>
      <c r="T4" s="3"/>
    </row>
    <row r="5" spans="2:20" ht="18" customHeight="1">
      <c r="B5" s="8"/>
      <c r="C5" s="9"/>
      <c r="D5" s="9"/>
      <c r="E5" s="10"/>
      <c r="F5" s="11" t="e">
        <f>DBCS(基本情報!D13)&amp;"月"</f>
        <v>#VALUE!</v>
      </c>
      <c r="G5" s="12"/>
      <c r="H5" s="11" t="str">
        <f>DBCS(基本情報!D14)&amp;"月"</f>
        <v>１月</v>
      </c>
      <c r="I5" s="12"/>
      <c r="J5" s="11" t="str">
        <f>DBCS(基本情報!D15)&amp;"月"</f>
        <v>２月</v>
      </c>
      <c r="K5" s="12"/>
      <c r="L5" s="11" t="e">
        <f>DBCS(基本情報!D16)&amp;"月"</f>
        <v>#VALUE!</v>
      </c>
      <c r="M5" s="12"/>
      <c r="N5" s="11" t="e">
        <f>DBCS(基本情報!D17)&amp;"月"</f>
        <v>#VALUE!</v>
      </c>
      <c r="O5" s="12"/>
      <c r="P5" s="11" t="e">
        <f>DBCS(基本情報!D18)&amp;"月"</f>
        <v>#VALUE!</v>
      </c>
      <c r="Q5" s="12"/>
      <c r="R5" s="11" t="s">
        <v>14</v>
      </c>
      <c r="S5" s="12"/>
    </row>
    <row r="6" spans="2:20" ht="18" customHeight="1">
      <c r="B6" s="8"/>
      <c r="C6" s="9"/>
      <c r="D6" s="9"/>
      <c r="E6" s="10"/>
      <c r="F6" s="13" t="s">
        <v>15</v>
      </c>
      <c r="G6" s="14" t="s">
        <v>16</v>
      </c>
      <c r="H6" s="13" t="s">
        <v>15</v>
      </c>
      <c r="I6" s="14" t="s">
        <v>16</v>
      </c>
      <c r="J6" s="13" t="s">
        <v>15</v>
      </c>
      <c r="K6" s="14" t="s">
        <v>16</v>
      </c>
      <c r="L6" s="13" t="s">
        <v>15</v>
      </c>
      <c r="M6" s="14" t="s">
        <v>16</v>
      </c>
      <c r="N6" s="13" t="s">
        <v>15</v>
      </c>
      <c r="O6" s="14" t="s">
        <v>16</v>
      </c>
      <c r="P6" s="13" t="s">
        <v>15</v>
      </c>
      <c r="Q6" s="14" t="s">
        <v>16</v>
      </c>
      <c r="R6" s="13" t="s">
        <v>15</v>
      </c>
      <c r="S6" s="14" t="s">
        <v>16</v>
      </c>
    </row>
    <row r="7" spans="2:20" ht="18" customHeight="1">
      <c r="B7" s="15">
        <v>1</v>
      </c>
      <c r="C7" s="16"/>
      <c r="D7" s="17" t="s">
        <v>17</v>
      </c>
      <c r="E7" s="18"/>
      <c r="F7" s="20"/>
      <c r="G7" s="19"/>
      <c r="H7" s="20"/>
      <c r="I7" s="19"/>
      <c r="J7" s="20"/>
      <c r="K7" s="19"/>
      <c r="L7" s="20"/>
      <c r="M7" s="19"/>
      <c r="N7" s="20"/>
      <c r="O7" s="19"/>
      <c r="P7" s="20"/>
      <c r="Q7" s="19"/>
      <c r="R7" s="20">
        <f t="shared" ref="R7:R15" si="0">SUM(F7,H7,J7,L7,N7,P7)</f>
        <v>0</v>
      </c>
      <c r="S7" s="18">
        <f t="shared" ref="S7:S15" si="1">SUM(G7,I7,K7,M7,O7,Q7)</f>
        <v>0</v>
      </c>
    </row>
    <row r="8" spans="2:20" ht="18" customHeight="1">
      <c r="B8" s="21">
        <v>2</v>
      </c>
      <c r="C8" s="22"/>
      <c r="D8" s="23" t="s">
        <v>161</v>
      </c>
      <c r="E8" s="24"/>
      <c r="F8" s="274"/>
      <c r="G8" s="25"/>
      <c r="H8" s="20"/>
      <c r="I8" s="25"/>
      <c r="J8" s="20"/>
      <c r="K8" s="25"/>
      <c r="L8" s="20"/>
      <c r="M8" s="25"/>
      <c r="N8" s="20"/>
      <c r="O8" s="25"/>
      <c r="P8" s="20"/>
      <c r="Q8" s="25"/>
      <c r="R8" s="20">
        <f t="shared" si="0"/>
        <v>0</v>
      </c>
      <c r="S8" s="24">
        <f t="shared" si="1"/>
        <v>0</v>
      </c>
    </row>
    <row r="9" spans="2:20" ht="18" customHeight="1">
      <c r="B9" s="21">
        <v>3</v>
      </c>
      <c r="C9" s="22"/>
      <c r="D9" s="23" t="s">
        <v>162</v>
      </c>
      <c r="E9" s="24"/>
      <c r="F9" s="274"/>
      <c r="G9" s="25"/>
      <c r="H9" s="20"/>
      <c r="I9" s="25"/>
      <c r="J9" s="20"/>
      <c r="K9" s="25"/>
      <c r="L9" s="20"/>
      <c r="M9" s="25"/>
      <c r="N9" s="20"/>
      <c r="O9" s="25"/>
      <c r="P9" s="20"/>
      <c r="Q9" s="25"/>
      <c r="R9" s="20">
        <f t="shared" si="0"/>
        <v>0</v>
      </c>
      <c r="S9" s="24">
        <f t="shared" si="1"/>
        <v>0</v>
      </c>
    </row>
    <row r="10" spans="2:20" ht="18" customHeight="1">
      <c r="B10" s="21">
        <v>4</v>
      </c>
      <c r="C10" s="22"/>
      <c r="D10" s="116" t="s">
        <v>167</v>
      </c>
      <c r="E10" s="24"/>
      <c r="F10" s="274"/>
      <c r="G10" s="25"/>
      <c r="H10" s="20"/>
      <c r="I10" s="25"/>
      <c r="J10" s="20"/>
      <c r="K10" s="25"/>
      <c r="L10" s="20"/>
      <c r="M10" s="25"/>
      <c r="N10" s="20"/>
      <c r="O10" s="25"/>
      <c r="P10" s="20"/>
      <c r="Q10" s="25"/>
      <c r="R10" s="20">
        <f t="shared" si="0"/>
        <v>0</v>
      </c>
      <c r="S10" s="24">
        <f t="shared" si="1"/>
        <v>0</v>
      </c>
    </row>
    <row r="11" spans="2:20" ht="18" customHeight="1">
      <c r="B11" s="21">
        <v>5</v>
      </c>
      <c r="C11" s="22"/>
      <c r="D11" s="23" t="s">
        <v>163</v>
      </c>
      <c r="E11" s="24"/>
      <c r="F11" s="274"/>
      <c r="G11" s="25"/>
      <c r="H11" s="20"/>
      <c r="I11" s="25"/>
      <c r="J11" s="20"/>
      <c r="K11" s="25"/>
      <c r="L11" s="20"/>
      <c r="M11" s="25"/>
      <c r="N11" s="20"/>
      <c r="O11" s="25"/>
      <c r="P11" s="20"/>
      <c r="Q11" s="25"/>
      <c r="R11" s="20">
        <f t="shared" si="0"/>
        <v>0</v>
      </c>
      <c r="S11" s="24">
        <f t="shared" si="1"/>
        <v>0</v>
      </c>
    </row>
    <row r="12" spans="2:20" ht="18" customHeight="1">
      <c r="B12" s="21">
        <v>6</v>
      </c>
      <c r="C12" s="22"/>
      <c r="D12" s="23" t="s">
        <v>157</v>
      </c>
      <c r="E12" s="24"/>
      <c r="F12" s="274"/>
      <c r="G12" s="25"/>
      <c r="H12" s="20"/>
      <c r="I12" s="25"/>
      <c r="J12" s="20"/>
      <c r="K12" s="25"/>
      <c r="L12" s="20"/>
      <c r="M12" s="25"/>
      <c r="N12" s="20"/>
      <c r="O12" s="25"/>
      <c r="P12" s="20"/>
      <c r="Q12" s="25"/>
      <c r="R12" s="20">
        <f t="shared" si="0"/>
        <v>0</v>
      </c>
      <c r="S12" s="24">
        <f t="shared" si="1"/>
        <v>0</v>
      </c>
    </row>
    <row r="13" spans="2:20" ht="18" customHeight="1">
      <c r="B13" s="21"/>
      <c r="C13" s="22"/>
      <c r="D13" s="117" t="s">
        <v>168</v>
      </c>
      <c r="E13" s="24"/>
      <c r="F13" s="274"/>
      <c r="G13" s="25"/>
      <c r="H13" s="20"/>
      <c r="I13" s="25"/>
      <c r="J13" s="20"/>
      <c r="K13" s="25"/>
      <c r="L13" s="20"/>
      <c r="M13" s="25"/>
      <c r="N13" s="20"/>
      <c r="O13" s="25"/>
      <c r="P13" s="20"/>
      <c r="Q13" s="25"/>
      <c r="R13" s="20">
        <f t="shared" si="0"/>
        <v>0</v>
      </c>
      <c r="S13" s="24">
        <f t="shared" si="1"/>
        <v>0</v>
      </c>
    </row>
    <row r="14" spans="2:20" ht="18" customHeight="1">
      <c r="B14" s="21">
        <v>7</v>
      </c>
      <c r="C14" s="22"/>
      <c r="D14" s="23" t="s">
        <v>164</v>
      </c>
      <c r="E14" s="24"/>
      <c r="F14" s="274"/>
      <c r="G14" s="25"/>
      <c r="H14" s="20"/>
      <c r="I14" s="25"/>
      <c r="J14" s="20"/>
      <c r="K14" s="25"/>
      <c r="L14" s="20"/>
      <c r="M14" s="25"/>
      <c r="N14" s="20"/>
      <c r="O14" s="25"/>
      <c r="P14" s="20"/>
      <c r="Q14" s="25"/>
      <c r="R14" s="20">
        <f t="shared" si="0"/>
        <v>0</v>
      </c>
      <c r="S14" s="24">
        <f t="shared" si="1"/>
        <v>0</v>
      </c>
    </row>
    <row r="15" spans="2:20" ht="18" customHeight="1">
      <c r="B15" s="21">
        <v>8</v>
      </c>
      <c r="C15" s="22"/>
      <c r="D15" s="23" t="s">
        <v>165</v>
      </c>
      <c r="E15" s="24"/>
      <c r="F15" s="274"/>
      <c r="G15" s="25"/>
      <c r="H15" s="20"/>
      <c r="I15" s="25"/>
      <c r="J15" s="20"/>
      <c r="K15" s="25"/>
      <c r="L15" s="20"/>
      <c r="M15" s="25"/>
      <c r="N15" s="20"/>
      <c r="O15" s="25"/>
      <c r="P15" s="20"/>
      <c r="Q15" s="25"/>
      <c r="R15" s="20">
        <f t="shared" si="0"/>
        <v>0</v>
      </c>
      <c r="S15" s="24">
        <f t="shared" si="1"/>
        <v>0</v>
      </c>
    </row>
    <row r="16" spans="2:20" ht="18" customHeight="1">
      <c r="B16" s="112">
        <v>9</v>
      </c>
      <c r="C16" s="26"/>
      <c r="D16" s="113" t="s">
        <v>158</v>
      </c>
      <c r="E16" s="27"/>
      <c r="F16" s="28"/>
      <c r="G16" s="114"/>
      <c r="H16" s="275"/>
      <c r="I16" s="114"/>
      <c r="J16" s="275"/>
      <c r="K16" s="114"/>
      <c r="L16" s="275"/>
      <c r="M16" s="114"/>
      <c r="N16" s="275"/>
      <c r="O16" s="114"/>
      <c r="P16" s="275"/>
      <c r="Q16" s="114"/>
      <c r="R16" s="20">
        <f>SUM(F16,H16,J16,L16,N16,P16)</f>
        <v>0</v>
      </c>
      <c r="S16" s="24">
        <f>SUM(G16,I16,K16,M16,O16,Q16)</f>
        <v>0</v>
      </c>
    </row>
    <row r="17" spans="2:19" ht="18" customHeight="1">
      <c r="B17" s="112">
        <v>10</v>
      </c>
      <c r="C17" s="26"/>
      <c r="D17" s="113" t="s">
        <v>166</v>
      </c>
      <c r="E17" s="27"/>
      <c r="F17" s="28"/>
      <c r="G17" s="114"/>
      <c r="H17" s="28"/>
      <c r="I17" s="114"/>
      <c r="J17" s="28"/>
      <c r="K17" s="114"/>
      <c r="L17" s="28"/>
      <c r="M17" s="114"/>
      <c r="N17" s="28"/>
      <c r="O17" s="114"/>
      <c r="P17" s="28"/>
      <c r="Q17" s="114"/>
      <c r="R17" s="20">
        <f>SUM(F17,H17,J17,L17,N17,P17)</f>
        <v>0</v>
      </c>
      <c r="S17" s="24">
        <f>SUM(G17,I17,K17,M17,O17,Q17)</f>
        <v>0</v>
      </c>
    </row>
    <row r="18" spans="2:19" ht="18" customHeight="1">
      <c r="B18" s="29" t="s">
        <v>18</v>
      </c>
      <c r="C18" s="30"/>
      <c r="D18" s="30"/>
      <c r="E18" s="31"/>
      <c r="F18" s="32">
        <f t="shared" ref="F18:S18" si="2">SUM(F7:F12,F14:F17)</f>
        <v>0</v>
      </c>
      <c r="G18" s="115">
        <f t="shared" si="2"/>
        <v>0</v>
      </c>
      <c r="H18" s="32">
        <f t="shared" si="2"/>
        <v>0</v>
      </c>
      <c r="I18" s="115">
        <f t="shared" si="2"/>
        <v>0</v>
      </c>
      <c r="J18" s="32">
        <f t="shared" si="2"/>
        <v>0</v>
      </c>
      <c r="K18" s="115">
        <f t="shared" si="2"/>
        <v>0</v>
      </c>
      <c r="L18" s="32">
        <f t="shared" si="2"/>
        <v>0</v>
      </c>
      <c r="M18" s="115">
        <f t="shared" si="2"/>
        <v>0</v>
      </c>
      <c r="N18" s="32">
        <f t="shared" si="2"/>
        <v>0</v>
      </c>
      <c r="O18" s="115">
        <f t="shared" si="2"/>
        <v>0</v>
      </c>
      <c r="P18" s="32">
        <f t="shared" si="2"/>
        <v>0</v>
      </c>
      <c r="Q18" s="115">
        <f t="shared" si="2"/>
        <v>0</v>
      </c>
      <c r="R18" s="32">
        <f t="shared" si="2"/>
        <v>0</v>
      </c>
      <c r="S18" s="115">
        <f t="shared" si="2"/>
        <v>0</v>
      </c>
    </row>
    <row r="19" spans="2:19" ht="18" customHeight="1">
      <c r="D19" s="33"/>
    </row>
    <row r="20" spans="2:19" ht="9" customHeight="1">
      <c r="D20" s="33"/>
    </row>
    <row r="21" spans="2:19" ht="18" customHeight="1">
      <c r="B21" s="11" t="s">
        <v>19</v>
      </c>
      <c r="C21" s="34"/>
      <c r="D21" s="34"/>
      <c r="E21" s="12"/>
      <c r="F21" s="35"/>
      <c r="G21" s="276">
        <f>Ａ!G7</f>
        <v>0</v>
      </c>
      <c r="H21" s="35"/>
      <c r="I21" s="276">
        <f>Ａ!G8</f>
        <v>0</v>
      </c>
      <c r="J21" s="35"/>
      <c r="K21" s="276">
        <f>Ａ!G9</f>
        <v>0</v>
      </c>
      <c r="L21" s="35"/>
      <c r="M21" s="276">
        <f>Ａ!G10</f>
        <v>0</v>
      </c>
      <c r="N21" s="35"/>
      <c r="O21" s="276">
        <f>Ａ!G11</f>
        <v>0</v>
      </c>
      <c r="P21" s="35"/>
      <c r="Q21" s="276">
        <f>Ａ!G12</f>
        <v>0</v>
      </c>
      <c r="R21" s="35"/>
      <c r="S21" s="36">
        <f>SUM(Q21,O21,M21,K21,G21,I21)</f>
        <v>0</v>
      </c>
    </row>
    <row r="22" spans="2:19" s="3" customFormat="1" ht="18" customHeight="1">
      <c r="B22" s="3" t="s">
        <v>20</v>
      </c>
    </row>
    <row r="23" spans="2:19" s="3" customFormat="1" ht="18" customHeight="1">
      <c r="B23" s="37"/>
      <c r="C23" s="37"/>
      <c r="D23" s="38" t="s">
        <v>169</v>
      </c>
      <c r="E23" s="37"/>
      <c r="F23" s="37"/>
      <c r="G23" s="37"/>
      <c r="H23" s="37"/>
      <c r="I23" s="37"/>
      <c r="J23" s="37"/>
      <c r="K23" s="37"/>
      <c r="L23" s="37"/>
      <c r="M23" s="37"/>
      <c r="N23" s="37"/>
      <c r="O23" s="37"/>
      <c r="P23" s="37"/>
      <c r="Q23" s="37"/>
      <c r="R23" s="37"/>
      <c r="S23" s="37"/>
    </row>
    <row r="24" spans="2:19" s="3" customFormat="1" ht="18" customHeight="1">
      <c r="B24" s="37"/>
      <c r="C24" s="37"/>
      <c r="D24" s="37"/>
      <c r="E24" s="37"/>
      <c r="F24" s="37"/>
      <c r="G24" s="37"/>
      <c r="H24" s="37"/>
      <c r="I24" s="37"/>
      <c r="J24" s="37"/>
      <c r="K24" s="37"/>
      <c r="L24" s="37"/>
      <c r="M24" s="37"/>
      <c r="N24" s="37"/>
      <c r="O24" s="37"/>
      <c r="P24" s="37"/>
      <c r="Q24" s="37"/>
      <c r="R24" s="37"/>
      <c r="S24" s="37"/>
    </row>
    <row r="25" spans="2:19" s="3" customFormat="1" ht="18" customHeight="1">
      <c r="B25" s="37"/>
      <c r="C25" s="37"/>
      <c r="D25" s="714" t="s">
        <v>167</v>
      </c>
      <c r="E25" s="37"/>
      <c r="F25" s="37"/>
      <c r="G25" s="37"/>
      <c r="H25" s="37"/>
      <c r="I25" s="37"/>
      <c r="J25" s="37"/>
      <c r="K25" s="37"/>
      <c r="L25" s="37"/>
      <c r="M25" s="37"/>
      <c r="N25" s="37"/>
      <c r="O25" s="37"/>
      <c r="P25" s="37"/>
      <c r="Q25" s="37"/>
      <c r="R25" s="37"/>
      <c r="S25" s="37"/>
    </row>
    <row r="26" spans="2:19" s="3" customFormat="1" ht="18" customHeight="1">
      <c r="B26" s="37"/>
      <c r="C26" s="37"/>
      <c r="D26" s="37"/>
      <c r="E26" s="37"/>
      <c r="F26" s="37"/>
      <c r="G26" s="37"/>
      <c r="H26" s="37"/>
      <c r="I26" s="37"/>
      <c r="J26" s="37"/>
      <c r="K26" s="37"/>
      <c r="L26" s="37"/>
      <c r="M26" s="37"/>
      <c r="N26" s="37"/>
      <c r="O26" s="37"/>
      <c r="P26" s="37"/>
      <c r="Q26" s="37"/>
      <c r="R26" s="37"/>
      <c r="S26" s="37"/>
    </row>
    <row r="27" spans="2:19" s="3" customFormat="1" ht="18" customHeight="1">
      <c r="B27" s="37"/>
      <c r="C27" s="37"/>
      <c r="D27" s="38" t="s">
        <v>170</v>
      </c>
      <c r="E27" s="37"/>
      <c r="F27" s="37"/>
      <c r="G27" s="37"/>
      <c r="H27" s="37"/>
      <c r="I27" s="37"/>
      <c r="J27" s="37"/>
      <c r="K27" s="37"/>
      <c r="L27" s="37"/>
      <c r="M27" s="37"/>
      <c r="N27" s="37"/>
      <c r="O27" s="37"/>
      <c r="P27" s="37"/>
      <c r="Q27" s="37"/>
      <c r="R27" s="37"/>
      <c r="S27" s="37"/>
    </row>
    <row r="28" spans="2:19" s="3" customFormat="1" ht="18" customHeight="1">
      <c r="B28" s="37"/>
      <c r="C28" s="37"/>
      <c r="D28" s="37"/>
      <c r="E28" s="37"/>
      <c r="F28" s="37"/>
      <c r="G28" s="37"/>
      <c r="H28" s="37"/>
      <c r="I28" s="37"/>
      <c r="J28" s="37"/>
      <c r="K28" s="37"/>
      <c r="L28" s="37"/>
      <c r="M28" s="37"/>
      <c r="N28" s="37"/>
      <c r="O28" s="37"/>
      <c r="P28" s="37"/>
      <c r="Q28" s="37"/>
      <c r="R28" s="37"/>
      <c r="S28" s="37"/>
    </row>
    <row r="29" spans="2:19" s="3" customFormat="1" ht="18" customHeight="1">
      <c r="B29" s="37"/>
      <c r="C29" s="37"/>
      <c r="D29" s="38" t="s">
        <v>171</v>
      </c>
      <c r="E29" s="37"/>
      <c r="F29" s="37"/>
      <c r="G29" s="37"/>
      <c r="H29" s="37"/>
      <c r="I29" s="37"/>
      <c r="J29" s="37"/>
      <c r="K29" s="37"/>
      <c r="L29" s="37"/>
      <c r="M29" s="37"/>
      <c r="N29" s="37"/>
      <c r="O29" s="37"/>
      <c r="P29" s="37"/>
      <c r="Q29" s="37"/>
      <c r="R29" s="37"/>
      <c r="S29" s="37"/>
    </row>
    <row r="30" spans="2:19" s="3" customFormat="1" ht="18" customHeight="1">
      <c r="B30" s="37"/>
      <c r="C30" s="37"/>
      <c r="D30" s="37"/>
      <c r="E30" s="37"/>
      <c r="F30" s="37"/>
      <c r="G30" s="37"/>
      <c r="H30" s="37"/>
      <c r="I30" s="37"/>
      <c r="J30" s="37"/>
      <c r="K30" s="37"/>
      <c r="L30" s="37"/>
      <c r="M30" s="37"/>
      <c r="N30" s="37"/>
      <c r="O30" s="37"/>
      <c r="P30" s="37"/>
      <c r="Q30" s="37"/>
      <c r="R30" s="37"/>
      <c r="S30" s="37"/>
    </row>
    <row r="31" spans="2:19" s="3" customFormat="1" ht="18" customHeight="1">
      <c r="B31" s="37"/>
      <c r="C31" s="37"/>
      <c r="D31" s="38" t="s">
        <v>166</v>
      </c>
      <c r="E31" s="37"/>
      <c r="F31" s="37"/>
      <c r="G31" s="37"/>
      <c r="H31" s="37"/>
      <c r="I31" s="37"/>
      <c r="J31" s="37"/>
      <c r="K31" s="37"/>
      <c r="L31" s="37"/>
      <c r="M31" s="37"/>
      <c r="N31" s="37"/>
      <c r="O31" s="37"/>
      <c r="P31" s="37"/>
      <c r="Q31" s="37"/>
      <c r="R31" s="37"/>
      <c r="S31" s="37"/>
    </row>
    <row r="32" spans="2:19" s="3" customFormat="1" ht="18" customHeight="1">
      <c r="B32" s="37"/>
      <c r="C32" s="37"/>
      <c r="D32" s="37"/>
      <c r="E32" s="37"/>
      <c r="F32" s="37"/>
      <c r="G32" s="37"/>
      <c r="H32" s="37"/>
      <c r="I32" s="37"/>
      <c r="J32" s="37"/>
      <c r="K32" s="37"/>
      <c r="L32" s="37"/>
      <c r="M32" s="37"/>
      <c r="N32" s="37"/>
      <c r="O32" s="37"/>
      <c r="P32" s="37"/>
      <c r="Q32" s="37"/>
      <c r="R32" s="37"/>
      <c r="S32" s="37"/>
    </row>
    <row r="33" ht="18" customHeight="1"/>
  </sheetData>
  <sheetProtection algorithmName="SHA-512" hashValue="znKrrYldlzVFLXt+/2rIvTZIuAbUXTuI+ntrgrX5kf55H9gwYxN3/VGAWVT5nYY6eJrqoPQ2YNhi1Xue9AQG1w==" saltValue="9cAW1mCw4mnP2v1kpD896w==" spinCount="100000" sheet="1" objects="1" scenarios="1"/>
  <mergeCells count="3">
    <mergeCell ref="I3:J3"/>
    <mergeCell ref="G3:H3"/>
    <mergeCell ref="K3:M3"/>
  </mergeCells>
  <phoneticPr fontId="3"/>
  <pageMargins left="0.19685039370078741" right="0.19685039370078741" top="0.43307086614173229" bottom="0.31496062992125984" header="0.27559055118110237" footer="0.19685039370078741"/>
  <pageSetup paperSize="9" orientation="landscape" blackAndWhite="1" horizontalDpi="4294967292"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AEB08-BBCF-496B-AAD8-4C7CFA9B448C}">
  <sheetPr codeName="Sheet4">
    <pageSetUpPr fitToPage="1"/>
  </sheetPr>
  <dimension ref="B2:N55"/>
  <sheetViews>
    <sheetView showGridLines="0" zoomScaleNormal="100" workbookViewId="0"/>
  </sheetViews>
  <sheetFormatPr defaultColWidth="9" defaultRowHeight="15" customHeight="1"/>
  <cols>
    <col min="1" max="1" width="1.6640625" style="281" customWidth="1"/>
    <col min="2" max="10" width="10.6640625" style="281" customWidth="1"/>
    <col min="11" max="11" width="8.6640625" style="281" customWidth="1"/>
    <col min="12" max="12" width="9.21875" style="281" bestFit="1" customWidth="1"/>
    <col min="13" max="13" width="9.6640625" style="281" customWidth="1"/>
    <col min="14" max="16384" width="9" style="281"/>
  </cols>
  <sheetData>
    <row r="2" spans="2:13" ht="15" customHeight="1">
      <c r="B2" s="94" t="str">
        <f>"第"&amp;基本情報!C11&amp;"期"</f>
        <v>第期</v>
      </c>
      <c r="C2" s="279" t="e">
        <f>LEFT(基本情報!C13,4) &amp; "年" &amp; MID(基本情報!C13,5,2) &amp; "月～" &amp; LEFT(基本情報!C18,4) &amp; "年" &amp; MID(基本情報!C18,5,2) &amp; "月"</f>
        <v>#VALUE!</v>
      </c>
      <c r="D2" s="280"/>
      <c r="F2" s="280" t="s">
        <v>142</v>
      </c>
      <c r="M2" s="282" t="s">
        <v>101</v>
      </c>
    </row>
    <row r="4" spans="2:13" ht="15" customHeight="1">
      <c r="B4" s="283" t="s">
        <v>111</v>
      </c>
      <c r="C4" s="830">
        <f>基本情報!C4</f>
        <v>0</v>
      </c>
      <c r="D4" s="830"/>
      <c r="E4" s="830">
        <f>基本情報!C6</f>
        <v>0</v>
      </c>
      <c r="F4" s="830"/>
      <c r="G4" s="834" t="str">
        <f>基本情報!C8&amp;"・"&amp;基本情報!C7</f>
        <v>・</v>
      </c>
      <c r="H4" s="834"/>
      <c r="I4" s="834"/>
    </row>
    <row r="5" spans="2:13" ht="15" customHeight="1">
      <c r="B5" s="284"/>
      <c r="C5" s="285"/>
      <c r="D5" s="285"/>
      <c r="E5" s="285"/>
      <c r="F5" s="285"/>
      <c r="G5" s="285"/>
      <c r="H5" s="285"/>
    </row>
    <row r="6" spans="2:13" ht="15" customHeight="1">
      <c r="B6" s="286" t="s">
        <v>110</v>
      </c>
      <c r="I6" s="285"/>
      <c r="J6" s="285"/>
      <c r="K6" s="285"/>
      <c r="L6" s="285"/>
    </row>
    <row r="7" spans="2:13" ht="15" customHeight="1" thickBot="1">
      <c r="B7" s="287" t="s">
        <v>109</v>
      </c>
      <c r="I7" s="288"/>
      <c r="K7"/>
    </row>
    <row r="8" spans="2:13" s="289" customFormat="1" ht="15" customHeight="1">
      <c r="B8" s="831" t="s">
        <v>95</v>
      </c>
      <c r="C8" s="832"/>
      <c r="D8" s="832"/>
      <c r="E8" s="832"/>
      <c r="F8" s="832"/>
      <c r="G8" s="832"/>
      <c r="H8" s="832"/>
      <c r="I8" s="833"/>
      <c r="K8"/>
    </row>
    <row r="9" spans="2:13" s="289" customFormat="1" ht="15" customHeight="1" thickBot="1">
      <c r="B9" s="715" t="s">
        <v>100</v>
      </c>
      <c r="C9" s="290" t="str">
        <f>IF(基本情報!C31="","",基本情報!C31)</f>
        <v/>
      </c>
      <c r="D9" s="291" t="str">
        <f>IF(基本情報!C32="","",基本情報!C32)</f>
        <v/>
      </c>
      <c r="E9" s="291" t="str">
        <f>IF(基本情報!C33="","",基本情報!C33)</f>
        <v/>
      </c>
      <c r="F9" s="292" t="str">
        <f>IF(基本情報!C34="","",基本情報!C34)</f>
        <v/>
      </c>
      <c r="G9" s="293" t="str">
        <f>IF(基本情報!C35="","",基本情報!C35)</f>
        <v/>
      </c>
      <c r="H9" s="293" t="str">
        <f>IF(基本情報!C36="","",基本情報!C36)</f>
        <v/>
      </c>
      <c r="I9" s="294" t="str">
        <f>IF(基本情報!C37="","",基本情報!C37)</f>
        <v/>
      </c>
      <c r="K9"/>
    </row>
    <row r="10" spans="2:13" ht="15" customHeight="1" thickBot="1">
      <c r="B10" s="295">
        <f>SUM(C10:I10)</f>
        <v>0</v>
      </c>
      <c r="C10" s="359"/>
      <c r="D10" s="360"/>
      <c r="E10" s="361"/>
      <c r="F10" s="360"/>
      <c r="G10" s="361"/>
      <c r="H10" s="360"/>
      <c r="I10" s="362"/>
      <c r="K10"/>
    </row>
    <row r="11" spans="2:13" ht="15" customHeight="1">
      <c r="B11" s="281">
        <f>B10*6</f>
        <v>0</v>
      </c>
      <c r="C11" s="285" t="s">
        <v>83</v>
      </c>
      <c r="D11" s="296"/>
      <c r="E11" s="296"/>
      <c r="F11" s="296"/>
      <c r="G11" s="296"/>
      <c r="H11" s="296"/>
      <c r="I11" s="296"/>
      <c r="J11" s="296"/>
      <c r="K11"/>
    </row>
    <row r="12" spans="2:13" ht="15" customHeight="1">
      <c r="B12" s="63"/>
    </row>
    <row r="13" spans="2:13" ht="15" customHeight="1" thickBot="1">
      <c r="B13" s="287" t="s">
        <v>94</v>
      </c>
    </row>
    <row r="14" spans="2:13" ht="15" customHeight="1">
      <c r="B14" s="297"/>
      <c r="C14" s="298" t="s">
        <v>84</v>
      </c>
      <c r="D14" s="285" t="s">
        <v>85</v>
      </c>
    </row>
    <row r="15" spans="2:13" ht="15" customHeight="1">
      <c r="B15" s="299" t="s">
        <v>86</v>
      </c>
      <c r="C15" s="363"/>
      <c r="D15" s="300">
        <f>C15*6</f>
        <v>0</v>
      </c>
    </row>
    <row r="16" spans="2:13" ht="15" customHeight="1" thickBot="1">
      <c r="B16" s="301" t="s">
        <v>61</v>
      </c>
      <c r="C16" s="364"/>
      <c r="D16" s="300">
        <f>C16*6</f>
        <v>0</v>
      </c>
    </row>
    <row r="17" spans="2:14" ht="15" customHeight="1">
      <c r="B17" s="302"/>
      <c r="C17" s="303"/>
    </row>
    <row r="18" spans="2:14" ht="15" customHeight="1" thickBot="1">
      <c r="B18" s="304" t="s">
        <v>102</v>
      </c>
      <c r="C18" s="303"/>
      <c r="D18" s="305"/>
      <c r="E18" s="305"/>
      <c r="F18" s="305"/>
      <c r="G18" s="305"/>
      <c r="H18" s="305"/>
      <c r="I18" s="305"/>
      <c r="J18" s="305"/>
      <c r="K18" s="305"/>
      <c r="L18" s="305"/>
    </row>
    <row r="19" spans="2:14" ht="15" customHeight="1">
      <c r="B19" s="306" t="s">
        <v>87</v>
      </c>
      <c r="C19" s="307" t="e">
        <f>DBCS(基本情報!D13)&amp;"月"</f>
        <v>#VALUE!</v>
      </c>
      <c r="D19" s="308" t="str">
        <f>DBCS(基本情報!D14)&amp;"月"</f>
        <v>１月</v>
      </c>
      <c r="E19" s="308" t="str">
        <f>DBCS(基本情報!D15)&amp;"月"</f>
        <v>２月</v>
      </c>
      <c r="F19" s="308" t="e">
        <f>DBCS(基本情報!D16)&amp;"月"</f>
        <v>#VALUE!</v>
      </c>
      <c r="G19" s="308" t="e">
        <f>DBCS(基本情報!D17)&amp;"月"</f>
        <v>#VALUE!</v>
      </c>
      <c r="H19" s="309" t="e">
        <f>DBCS(基本情報!D18)&amp;"月"</f>
        <v>#VALUE!</v>
      </c>
      <c r="I19" s="310" t="s">
        <v>88</v>
      </c>
      <c r="L19" s="305"/>
      <c r="M19" s="305"/>
      <c r="N19" s="305"/>
    </row>
    <row r="20" spans="2:14" ht="15" customHeight="1">
      <c r="B20" s="311" t="s">
        <v>174</v>
      </c>
      <c r="C20" s="365"/>
      <c r="D20" s="366"/>
      <c r="E20" s="366"/>
      <c r="F20" s="366"/>
      <c r="G20" s="366"/>
      <c r="H20" s="367"/>
      <c r="I20" s="312">
        <f>SUM(C20:H20)</f>
        <v>0</v>
      </c>
      <c r="L20" s="305"/>
      <c r="M20" s="305"/>
      <c r="N20" s="305"/>
    </row>
    <row r="21" spans="2:14" ht="15" customHeight="1">
      <c r="B21" s="313" t="s">
        <v>172</v>
      </c>
      <c r="C21" s="368"/>
      <c r="D21" s="369"/>
      <c r="E21" s="369"/>
      <c r="F21" s="369"/>
      <c r="G21" s="369"/>
      <c r="H21" s="370"/>
      <c r="I21" s="314">
        <f>SUM(C21:H21)</f>
        <v>0</v>
      </c>
      <c r="L21" s="305"/>
      <c r="M21" s="305"/>
      <c r="N21" s="305"/>
    </row>
    <row r="22" spans="2:14" ht="15" customHeight="1">
      <c r="B22" s="315" t="s">
        <v>89</v>
      </c>
      <c r="C22" s="371"/>
      <c r="D22" s="372"/>
      <c r="E22" s="372"/>
      <c r="F22" s="372"/>
      <c r="G22" s="372"/>
      <c r="H22" s="373"/>
      <c r="I22" s="316">
        <f>SUM(C22:H22)</f>
        <v>0</v>
      </c>
      <c r="L22" s="305"/>
      <c r="M22" s="305"/>
      <c r="N22" s="305"/>
    </row>
    <row r="23" spans="2:14" ht="15" customHeight="1" thickBot="1">
      <c r="B23" s="317" t="s">
        <v>90</v>
      </c>
      <c r="C23" s="318">
        <f>SUM(C20:C22)</f>
        <v>0</v>
      </c>
      <c r="D23" s="319">
        <f t="shared" ref="D23:I23" si="0">SUM(D20:D22)</f>
        <v>0</v>
      </c>
      <c r="E23" s="319">
        <f t="shared" si="0"/>
        <v>0</v>
      </c>
      <c r="F23" s="319">
        <f t="shared" si="0"/>
        <v>0</v>
      </c>
      <c r="G23" s="319">
        <f t="shared" si="0"/>
        <v>0</v>
      </c>
      <c r="H23" s="320">
        <f t="shared" si="0"/>
        <v>0</v>
      </c>
      <c r="I23" s="321">
        <f t="shared" si="0"/>
        <v>0</v>
      </c>
      <c r="L23" s="305"/>
      <c r="M23" s="305"/>
      <c r="N23" s="305"/>
    </row>
    <row r="24" spans="2:14" ht="15" customHeight="1">
      <c r="C24" s="322"/>
      <c r="D24" s="285"/>
      <c r="G24" s="300"/>
      <c r="H24" s="300"/>
    </row>
    <row r="25" spans="2:14" ht="15" customHeight="1">
      <c r="C25" s="322"/>
      <c r="D25" s="285"/>
      <c r="G25" s="300"/>
      <c r="H25" s="300"/>
    </row>
    <row r="26" spans="2:14" ht="15" customHeight="1" thickBot="1">
      <c r="B26" s="323" t="s">
        <v>103</v>
      </c>
      <c r="C26" s="322"/>
      <c r="D26" s="285"/>
    </row>
    <row r="27" spans="2:14" ht="15" customHeight="1" thickBot="1">
      <c r="B27" s="324" t="s">
        <v>91</v>
      </c>
      <c r="C27" s="307" t="s">
        <v>43</v>
      </c>
      <c r="D27" s="733" t="s">
        <v>281</v>
      </c>
      <c r="E27" s="325" t="s">
        <v>44</v>
      </c>
      <c r="F27" s="326"/>
      <c r="G27" s="326"/>
      <c r="H27" s="326"/>
      <c r="I27" s="326"/>
      <c r="J27" s="326"/>
      <c r="K27" s="327" t="s">
        <v>92</v>
      </c>
      <c r="L27" s="735" t="s">
        <v>93</v>
      </c>
      <c r="M27" s="328"/>
    </row>
    <row r="28" spans="2:14" ht="15" customHeight="1">
      <c r="B28" s="634" t="str">
        <f>IF(基本情報!C38="","",基本情報!C38)</f>
        <v/>
      </c>
      <c r="C28" s="329" t="str">
        <f>IF(L28="","",($K28*L28)+D28)</f>
        <v/>
      </c>
      <c r="D28" s="198"/>
      <c r="E28" s="73"/>
      <c r="F28" s="74"/>
      <c r="G28" s="74"/>
      <c r="H28" s="74"/>
      <c r="I28" s="74"/>
      <c r="J28" s="75"/>
      <c r="K28" s="64"/>
      <c r="L28" s="637" t="str">
        <f>IF(基本情報!D38="","",基本情報!D38)</f>
        <v/>
      </c>
      <c r="M28" s="330"/>
    </row>
    <row r="29" spans="2:14" ht="15" customHeight="1">
      <c r="B29" s="635" t="str">
        <f>IF(基本情報!C39="","",基本情報!C39)</f>
        <v/>
      </c>
      <c r="C29" s="331" t="str">
        <f t="shared" ref="C29:C43" si="1">IF(L29="","",($K29*L29)+D29)</f>
        <v/>
      </c>
      <c r="D29" s="199"/>
      <c r="E29" s="76"/>
      <c r="F29" s="77"/>
      <c r="G29" s="77"/>
      <c r="H29" s="77"/>
      <c r="I29" s="77"/>
      <c r="J29" s="78"/>
      <c r="K29" s="65"/>
      <c r="L29" s="638" t="str">
        <f>IF(基本情報!D39="","",基本情報!D39)</f>
        <v/>
      </c>
      <c r="M29" s="332"/>
    </row>
    <row r="30" spans="2:14" ht="15" customHeight="1">
      <c r="B30" s="635" t="str">
        <f>IF(基本情報!C40="","",基本情報!C40)</f>
        <v/>
      </c>
      <c r="C30" s="331" t="str">
        <f t="shared" si="1"/>
        <v/>
      </c>
      <c r="D30" s="199"/>
      <c r="E30" s="76"/>
      <c r="F30" s="77"/>
      <c r="G30" s="77"/>
      <c r="H30" s="77"/>
      <c r="I30" s="77"/>
      <c r="J30" s="78"/>
      <c r="K30" s="65"/>
      <c r="L30" s="638" t="str">
        <f>IF(基本情報!D40="","",基本情報!D40)</f>
        <v/>
      </c>
      <c r="M30" s="332"/>
    </row>
    <row r="31" spans="2:14" ht="15" customHeight="1">
      <c r="B31" s="635" t="str">
        <f>IF(基本情報!C41="","",基本情報!C41)</f>
        <v/>
      </c>
      <c r="C31" s="331" t="str">
        <f t="shared" si="1"/>
        <v/>
      </c>
      <c r="D31" s="199"/>
      <c r="E31" s="76"/>
      <c r="F31" s="77"/>
      <c r="G31" s="77"/>
      <c r="H31" s="77"/>
      <c r="I31" s="77"/>
      <c r="J31" s="78"/>
      <c r="K31" s="65"/>
      <c r="L31" s="638" t="str">
        <f>IF(基本情報!D41="","",基本情報!D41)</f>
        <v/>
      </c>
      <c r="M31" s="332"/>
    </row>
    <row r="32" spans="2:14" ht="15" customHeight="1">
      <c r="B32" s="635" t="str">
        <f>IF(基本情報!C42="","",基本情報!C42)</f>
        <v/>
      </c>
      <c r="C32" s="331" t="str">
        <f t="shared" si="1"/>
        <v/>
      </c>
      <c r="D32" s="199"/>
      <c r="E32" s="76"/>
      <c r="F32" s="77"/>
      <c r="G32" s="77"/>
      <c r="H32" s="77"/>
      <c r="I32" s="77"/>
      <c r="J32" s="78"/>
      <c r="K32" s="65"/>
      <c r="L32" s="638" t="str">
        <f>IF(基本情報!D42="","",基本情報!D42)</f>
        <v/>
      </c>
      <c r="M32" s="332"/>
    </row>
    <row r="33" spans="2:13" ht="15" customHeight="1">
      <c r="B33" s="635" t="str">
        <f>IF(基本情報!C43="","",基本情報!C43)</f>
        <v/>
      </c>
      <c r="C33" s="331" t="str">
        <f t="shared" si="1"/>
        <v/>
      </c>
      <c r="D33" s="199"/>
      <c r="E33" s="76"/>
      <c r="F33" s="77"/>
      <c r="G33" s="77"/>
      <c r="H33" s="77"/>
      <c r="I33" s="77"/>
      <c r="J33" s="78"/>
      <c r="K33" s="65"/>
      <c r="L33" s="638" t="str">
        <f>IF(基本情報!D43="","",基本情報!D43)</f>
        <v/>
      </c>
      <c r="M33" s="332"/>
    </row>
    <row r="34" spans="2:13" ht="15" customHeight="1">
      <c r="B34" s="635" t="str">
        <f>IF(基本情報!C44="","",基本情報!C44)</f>
        <v/>
      </c>
      <c r="C34" s="331" t="str">
        <f t="shared" si="1"/>
        <v/>
      </c>
      <c r="D34" s="199"/>
      <c r="E34" s="76"/>
      <c r="F34" s="77"/>
      <c r="G34" s="77"/>
      <c r="H34" s="77"/>
      <c r="I34" s="77"/>
      <c r="J34" s="78"/>
      <c r="K34" s="65"/>
      <c r="L34" s="638" t="str">
        <f>IF(基本情報!D44="","",基本情報!D44)</f>
        <v/>
      </c>
      <c r="M34" s="332"/>
    </row>
    <row r="35" spans="2:13" ht="15" customHeight="1">
      <c r="B35" s="635" t="str">
        <f>IF(基本情報!C45="","",基本情報!C45)</f>
        <v/>
      </c>
      <c r="C35" s="331" t="str">
        <f t="shared" si="1"/>
        <v/>
      </c>
      <c r="D35" s="199"/>
      <c r="E35" s="76"/>
      <c r="F35" s="77"/>
      <c r="G35" s="77"/>
      <c r="H35" s="77"/>
      <c r="I35" s="77"/>
      <c r="J35" s="78"/>
      <c r="K35" s="65"/>
      <c r="L35" s="638" t="str">
        <f>IF(基本情報!D45="","",基本情報!D45)</f>
        <v/>
      </c>
      <c r="M35" s="332"/>
    </row>
    <row r="36" spans="2:13" ht="15" customHeight="1">
      <c r="B36" s="636" t="str">
        <f>IF(基本情報!C46="","",基本情報!C46)</f>
        <v/>
      </c>
      <c r="C36" s="640" t="str">
        <f t="shared" si="1"/>
        <v/>
      </c>
      <c r="D36" s="200"/>
      <c r="E36" s="106"/>
      <c r="F36" s="85"/>
      <c r="G36" s="85"/>
      <c r="H36" s="85"/>
      <c r="I36" s="85"/>
      <c r="J36" s="86"/>
      <c r="K36" s="69"/>
      <c r="L36" s="639" t="str">
        <f>IF(基本情報!D46="","",基本情報!D46)</f>
        <v/>
      </c>
      <c r="M36" s="333"/>
    </row>
    <row r="37" spans="2:13" ht="15" customHeight="1">
      <c r="B37" s="634" t="str">
        <f>IF(基本情報!C47="","",基本情報!C47)</f>
        <v/>
      </c>
      <c r="C37" s="329" t="str">
        <f t="shared" si="1"/>
        <v/>
      </c>
      <c r="D37" s="198"/>
      <c r="E37" s="107"/>
      <c r="F37" s="108"/>
      <c r="G37" s="108"/>
      <c r="H37" s="108"/>
      <c r="I37" s="108"/>
      <c r="J37" s="109"/>
      <c r="K37" s="110"/>
      <c r="L37" s="637" t="str">
        <f>IF(基本情報!D47="","",基本情報!D47)</f>
        <v/>
      </c>
      <c r="M37" s="334"/>
    </row>
    <row r="38" spans="2:13" ht="15" customHeight="1">
      <c r="B38" s="635" t="str">
        <f>IF(基本情報!C48="","",基本情報!C48)</f>
        <v/>
      </c>
      <c r="C38" s="331" t="str">
        <f t="shared" si="1"/>
        <v/>
      </c>
      <c r="D38" s="199"/>
      <c r="E38" s="76"/>
      <c r="F38" s="77"/>
      <c r="G38" s="77"/>
      <c r="H38" s="77"/>
      <c r="I38" s="77"/>
      <c r="J38" s="78"/>
      <c r="K38" s="65"/>
      <c r="L38" s="638" t="str">
        <f>IF(基本情報!D48="","",基本情報!D48)</f>
        <v/>
      </c>
      <c r="M38" s="332"/>
    </row>
    <row r="39" spans="2:13" ht="15" customHeight="1">
      <c r="B39" s="635" t="str">
        <f>IF(基本情報!C49="","",基本情報!C49)</f>
        <v/>
      </c>
      <c r="C39" s="331" t="str">
        <f t="shared" si="1"/>
        <v/>
      </c>
      <c r="D39" s="199"/>
      <c r="E39" s="76"/>
      <c r="F39" s="77"/>
      <c r="G39" s="77"/>
      <c r="H39" s="77"/>
      <c r="I39" s="77"/>
      <c r="J39" s="78"/>
      <c r="K39" s="65"/>
      <c r="L39" s="638" t="str">
        <f>IF(基本情報!D49="","",基本情報!D49)</f>
        <v/>
      </c>
      <c r="M39" s="332"/>
    </row>
    <row r="40" spans="2:13" ht="15" customHeight="1">
      <c r="B40" s="635" t="str">
        <f>IF(基本情報!C50="","",基本情報!C50)</f>
        <v/>
      </c>
      <c r="C40" s="331" t="str">
        <f t="shared" si="1"/>
        <v/>
      </c>
      <c r="D40" s="199"/>
      <c r="E40" s="76"/>
      <c r="F40" s="77"/>
      <c r="G40" s="77"/>
      <c r="H40" s="77"/>
      <c r="I40" s="77"/>
      <c r="J40" s="78"/>
      <c r="K40" s="65"/>
      <c r="L40" s="638" t="str">
        <f>IF(基本情報!D50="","",基本情報!D50)</f>
        <v/>
      </c>
      <c r="M40" s="332"/>
    </row>
    <row r="41" spans="2:13" ht="15" customHeight="1">
      <c r="B41" s="636" t="str">
        <f>IF(基本情報!C51="","",基本情報!C51)</f>
        <v/>
      </c>
      <c r="C41" s="640" t="str">
        <f t="shared" si="1"/>
        <v/>
      </c>
      <c r="D41" s="200"/>
      <c r="E41" s="79"/>
      <c r="F41" s="80"/>
      <c r="G41" s="80"/>
      <c r="H41" s="80"/>
      <c r="I41" s="80"/>
      <c r="J41" s="81"/>
      <c r="K41" s="66"/>
      <c r="L41" s="639" t="str">
        <f>IF(基本情報!D51="","",基本情報!D51)</f>
        <v/>
      </c>
      <c r="M41" s="333"/>
    </row>
    <row r="42" spans="2:13" ht="15" customHeight="1">
      <c r="B42" s="634" t="str">
        <f>IF(基本情報!C52="","",基本情報!C52)</f>
        <v/>
      </c>
      <c r="C42" s="329" t="str">
        <f t="shared" si="1"/>
        <v/>
      </c>
      <c r="D42" s="198"/>
      <c r="E42" s="82"/>
      <c r="F42" s="83"/>
      <c r="G42" s="83"/>
      <c r="H42" s="83"/>
      <c r="I42" s="83"/>
      <c r="J42" s="84"/>
      <c r="K42" s="67"/>
      <c r="L42" s="637" t="str">
        <f>IF(基本情報!D52="","",基本情報!D52)</f>
        <v/>
      </c>
      <c r="M42" s="334"/>
    </row>
    <row r="43" spans="2:13" ht="15" customHeight="1" thickBot="1">
      <c r="B43" s="635" t="str">
        <f>IF(基本情報!C53="","",基本情報!C53)</f>
        <v/>
      </c>
      <c r="C43" s="641" t="str">
        <f t="shared" si="1"/>
        <v/>
      </c>
      <c r="D43" s="199"/>
      <c r="E43" s="76"/>
      <c r="F43" s="77"/>
      <c r="G43" s="77"/>
      <c r="H43" s="77"/>
      <c r="I43" s="77"/>
      <c r="J43" s="78"/>
      <c r="K43" s="65"/>
      <c r="L43" s="638" t="str">
        <f>IF(基本情報!D53="","",基本情報!D53)</f>
        <v/>
      </c>
      <c r="M43" s="332"/>
    </row>
    <row r="44" spans="2:13" ht="15" customHeight="1">
      <c r="B44" s="635" t="str">
        <f>IF(基本情報!C54="","",基本情報!C54)</f>
        <v/>
      </c>
      <c r="C44" s="737"/>
      <c r="D44" s="736"/>
      <c r="E44" s="76"/>
      <c r="F44" s="77"/>
      <c r="G44" s="77"/>
      <c r="H44" s="77"/>
      <c r="I44" s="77"/>
      <c r="J44" s="78"/>
      <c r="K44" s="65"/>
      <c r="L44" s="638" t="str">
        <f>IF(基本情報!D54="","",基本情報!D54)</f>
        <v/>
      </c>
      <c r="M44" s="335"/>
    </row>
    <row r="45" spans="2:13" ht="15" customHeight="1">
      <c r="B45" s="635" t="str">
        <f>IF(基本情報!C55="","",基本情報!C55)</f>
        <v/>
      </c>
      <c r="C45" s="738"/>
      <c r="D45" s="71"/>
      <c r="E45" s="76"/>
      <c r="F45" s="77"/>
      <c r="G45" s="77"/>
      <c r="H45" s="77"/>
      <c r="I45" s="77"/>
      <c r="J45" s="78"/>
      <c r="K45" s="65"/>
      <c r="L45" s="638" t="str">
        <f>IF(基本情報!D55="","",基本情報!D55)</f>
        <v/>
      </c>
      <c r="M45" s="336"/>
    </row>
    <row r="46" spans="2:13" ht="15" customHeight="1" thickBot="1">
      <c r="B46" s="636" t="str">
        <f>IF(基本情報!C56="","",基本情報!C56)</f>
        <v/>
      </c>
      <c r="C46" s="70"/>
      <c r="D46" s="72"/>
      <c r="E46" s="105"/>
      <c r="F46" s="87"/>
      <c r="G46" s="87"/>
      <c r="H46" s="87"/>
      <c r="I46" s="87"/>
      <c r="J46" s="88"/>
      <c r="K46" s="68"/>
      <c r="L46" s="638" t="str">
        <f>IF(基本情報!D56="","",基本情報!D56)</f>
        <v/>
      </c>
      <c r="M46" s="337"/>
    </row>
    <row r="47" spans="2:13" ht="15" customHeight="1" thickBot="1">
      <c r="B47" s="338" t="s">
        <v>18</v>
      </c>
      <c r="C47" s="339">
        <f>SUM(C28:C46)</f>
        <v>0</v>
      </c>
      <c r="D47" s="340"/>
      <c r="E47" s="341"/>
      <c r="F47" s="342"/>
      <c r="G47" s="342"/>
      <c r="H47" s="342"/>
      <c r="I47" s="342"/>
      <c r="J47" s="342"/>
      <c r="K47" s="343">
        <f>SUM(K28:K46)</f>
        <v>0</v>
      </c>
      <c r="L47" s="344"/>
      <c r="M47" s="345"/>
    </row>
    <row r="48" spans="2:13" ht="15" customHeight="1">
      <c r="B48" s="285"/>
      <c r="C48" s="300"/>
      <c r="D48" s="300"/>
    </row>
    <row r="49" spans="2:11" ht="15" customHeight="1">
      <c r="B49" s="285"/>
      <c r="C49" s="300"/>
      <c r="D49" s="300"/>
    </row>
    <row r="50" spans="2:11" ht="15" customHeight="1">
      <c r="C50" s="288" t="s">
        <v>96</v>
      </c>
      <c r="D50" s="346" t="s">
        <v>56</v>
      </c>
      <c r="E50" s="346" t="e">
        <f t="shared" ref="E50:J50" si="2">C19</f>
        <v>#VALUE!</v>
      </c>
      <c r="F50" s="347" t="str">
        <f t="shared" si="2"/>
        <v>１月</v>
      </c>
      <c r="G50" s="347" t="str">
        <f t="shared" si="2"/>
        <v>２月</v>
      </c>
      <c r="H50" s="347" t="e">
        <f t="shared" si="2"/>
        <v>#VALUE!</v>
      </c>
      <c r="I50" s="347" t="e">
        <f t="shared" si="2"/>
        <v>#VALUE!</v>
      </c>
      <c r="J50" s="348" t="e">
        <f t="shared" si="2"/>
        <v>#VALUE!</v>
      </c>
    </row>
    <row r="51" spans="2:11" ht="15" customHeight="1">
      <c r="B51"/>
      <c r="C51" s="288" t="s">
        <v>155</v>
      </c>
      <c r="D51" s="349">
        <f>SUM(E51:J51)</f>
        <v>0</v>
      </c>
      <c r="E51" s="349">
        <f>'Ｃ'!F8</f>
        <v>0</v>
      </c>
      <c r="F51" s="350">
        <f>'Ｃ'!H8</f>
        <v>0</v>
      </c>
      <c r="G51" s="350">
        <f>'Ｃ'!J8</f>
        <v>0</v>
      </c>
      <c r="H51" s="350">
        <f>'Ｃ'!L8</f>
        <v>0</v>
      </c>
      <c r="I51" s="350">
        <f>'Ｃ'!N8</f>
        <v>0</v>
      </c>
      <c r="J51" s="351">
        <f>'Ｃ'!P8</f>
        <v>0</v>
      </c>
      <c r="K51"/>
    </row>
    <row r="52" spans="2:11" ht="15" customHeight="1">
      <c r="B52"/>
      <c r="C52" s="288"/>
      <c r="D52" s="352" t="s">
        <v>108</v>
      </c>
      <c r="E52" s="353"/>
      <c r="F52" s="374"/>
      <c r="G52" s="374"/>
      <c r="H52" s="374"/>
      <c r="I52" s="374"/>
      <c r="J52" s="375"/>
      <c r="K52"/>
    </row>
    <row r="53" spans="2:11" ht="15" customHeight="1">
      <c r="B53"/>
      <c r="D53" s="354"/>
      <c r="E53" s="355"/>
      <c r="F53" s="376"/>
      <c r="G53" s="376"/>
      <c r="H53" s="376"/>
      <c r="I53" s="376"/>
      <c r="J53" s="377"/>
      <c r="K53"/>
    </row>
    <row r="54" spans="2:11" ht="15" customHeight="1">
      <c r="D54" s="354"/>
      <c r="E54" s="356"/>
      <c r="F54" s="376"/>
      <c r="G54" s="376"/>
      <c r="H54" s="376"/>
      <c r="I54" s="376"/>
      <c r="J54" s="377"/>
    </row>
    <row r="55" spans="2:11" ht="15" customHeight="1">
      <c r="D55" s="357"/>
      <c r="E55" s="358"/>
      <c r="F55" s="378"/>
      <c r="G55" s="378"/>
      <c r="H55" s="378"/>
      <c r="I55" s="378"/>
      <c r="J55" s="379"/>
    </row>
  </sheetData>
  <sheetProtection algorithmName="SHA-512" hashValue="dXBYbqKRLxPUtZtgITtc/reTGKdvX6MtMUT+yZ2jx70BTzLw5GVmxaDK0enLbMqJjFFPZvTlbtFCSUHHt3oh/g==" saltValue="pdsby+pkVQPIkHnZPJ0uxQ==" spinCount="100000" sheet="1" objects="1" scenarios="1"/>
  <mergeCells count="4">
    <mergeCell ref="E4:F4"/>
    <mergeCell ref="B8:I8"/>
    <mergeCell ref="C4:D4"/>
    <mergeCell ref="G4:I4"/>
  </mergeCells>
  <phoneticPr fontId="3"/>
  <printOptions horizontalCentered="1"/>
  <pageMargins left="0" right="0" top="0.39370078740157483" bottom="0" header="0.19685039370078741" footer="0.19685039370078741"/>
  <pageSetup paperSize="9" scale="81" orientation="portrait" blackAndWhite="1"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5CA46-FD5B-4868-8FEC-0F60B83BF737}">
  <sheetPr codeName="Sheet3">
    <pageSetUpPr fitToPage="1"/>
  </sheetPr>
  <dimension ref="A1:AB54"/>
  <sheetViews>
    <sheetView showGridLines="0" zoomScaleNormal="100" workbookViewId="0">
      <pane xSplit="4" topLeftCell="E1" activePane="topRight" state="frozen"/>
      <selection pane="topRight"/>
    </sheetView>
  </sheetViews>
  <sheetFormatPr defaultColWidth="8" defaultRowHeight="18" customHeight="1"/>
  <cols>
    <col min="1" max="2" width="0.77734375" style="380" customWidth="1"/>
    <col min="3" max="3" width="12.88671875" style="380" customWidth="1"/>
    <col min="4" max="4" width="0.77734375" style="380" customWidth="1"/>
    <col min="5" max="14" width="8" style="380" customWidth="1"/>
    <col min="15" max="15" width="7.88671875" style="380" customWidth="1"/>
    <col min="16" max="16" width="8" style="380" customWidth="1"/>
    <col min="17" max="18" width="10.6640625" style="380" customWidth="1"/>
    <col min="19" max="19" width="1.21875" style="380" customWidth="1"/>
    <col min="20" max="20" width="11.6640625" style="380" customWidth="1"/>
    <col min="21" max="22" width="8" style="380" customWidth="1"/>
    <col min="23" max="25" width="8.44140625" style="380" customWidth="1"/>
    <col min="26" max="16384" width="8" style="380"/>
  </cols>
  <sheetData>
    <row r="1" spans="2:28" ht="18" customHeight="1">
      <c r="C1" s="91" t="str">
        <f>"第"&amp;基本情報!C11&amp;"期"</f>
        <v>第期</v>
      </c>
      <c r="D1" s="272"/>
      <c r="E1" s="273" t="e">
        <f>LEFT(基本情報!C13,4) &amp; "年" &amp; MID(基本情報!C13,5,2) &amp; "月～" &amp; LEFT(基本情報!C18,4) &amp; "年" &amp; MID(基本情報!C18,5,2) &amp; "月"</f>
        <v>#VALUE!</v>
      </c>
      <c r="F1" s="273"/>
      <c r="H1" s="273"/>
      <c r="I1" s="381" t="s">
        <v>156</v>
      </c>
      <c r="J1" s="382"/>
      <c r="M1" s="383"/>
      <c r="N1" s="383"/>
      <c r="O1" s="383"/>
      <c r="P1" s="383"/>
      <c r="AB1" s="384" t="s">
        <v>49</v>
      </c>
    </row>
    <row r="2" spans="2:28" ht="18" customHeight="1">
      <c r="C2" s="385"/>
      <c r="E2" s="386" t="s">
        <v>278</v>
      </c>
      <c r="F2" s="387">
        <f>基本情報!C10</f>
        <v>0</v>
      </c>
      <c r="G2" s="92"/>
      <c r="H2" s="92"/>
      <c r="I2" s="92"/>
      <c r="J2" s="92"/>
      <c r="Z2" s="388" t="s">
        <v>116</v>
      </c>
      <c r="AA2" s="388" t="s">
        <v>10</v>
      </c>
      <c r="AB2" s="388" t="s">
        <v>11</v>
      </c>
    </row>
    <row r="3" spans="2:28" ht="18" customHeight="1">
      <c r="C3" s="283" t="s">
        <v>117</v>
      </c>
      <c r="E3" s="840">
        <f>基本情報!C4</f>
        <v>0</v>
      </c>
      <c r="F3" s="840"/>
      <c r="G3" s="840">
        <f>基本情報!C6</f>
        <v>0</v>
      </c>
      <c r="H3" s="840"/>
      <c r="I3" s="844" t="str">
        <f>基本情報!C8&amp;"・"&amp;基本情報!C7</f>
        <v>・</v>
      </c>
      <c r="J3" s="844"/>
      <c r="K3" s="844"/>
      <c r="Z3" s="389"/>
      <c r="AA3" s="389"/>
      <c r="AB3" s="389"/>
    </row>
    <row r="4" spans="2:28" ht="18" customHeight="1">
      <c r="Z4" s="390"/>
      <c r="AA4" s="390"/>
      <c r="AB4" s="390"/>
    </row>
    <row r="5" spans="2:28" ht="18" customHeight="1">
      <c r="C5" s="380" t="s">
        <v>21</v>
      </c>
      <c r="Z5" s="391"/>
      <c r="AA5" s="391"/>
      <c r="AB5" s="391"/>
    </row>
    <row r="6" spans="2:28" ht="18" customHeight="1">
      <c r="B6" s="392"/>
      <c r="C6" s="841" t="s">
        <v>97</v>
      </c>
      <c r="D6" s="841"/>
      <c r="E6" s="835" t="e">
        <f>DBCS(基本情報!D13)&amp;"月"</f>
        <v>#VALUE!</v>
      </c>
      <c r="F6" s="843"/>
      <c r="G6" s="835" t="str">
        <f>DBCS(基本情報!D14)&amp;"月"</f>
        <v>１月</v>
      </c>
      <c r="H6" s="843"/>
      <c r="I6" s="835" t="str">
        <f>DBCS(基本情報!D15)&amp;"月"</f>
        <v>２月</v>
      </c>
      <c r="J6" s="843"/>
      <c r="K6" s="835" t="e">
        <f>DBCS(基本情報!D16)&amp;"月"</f>
        <v>#VALUE!</v>
      </c>
      <c r="L6" s="843"/>
      <c r="M6" s="835" t="e">
        <f>DBCS(基本情報!D17)&amp;"月"</f>
        <v>#VALUE!</v>
      </c>
      <c r="N6" s="843"/>
      <c r="O6" s="835" t="e">
        <f>DBCS(基本情報!D18)&amp;"月"</f>
        <v>#VALUE!</v>
      </c>
      <c r="P6" s="836"/>
      <c r="Q6" s="843" t="s">
        <v>14</v>
      </c>
      <c r="R6" s="836"/>
      <c r="T6" s="837" t="s">
        <v>22</v>
      </c>
      <c r="U6" s="838"/>
      <c r="V6" s="838"/>
      <c r="W6" s="838"/>
      <c r="X6" s="838"/>
      <c r="Y6" s="838"/>
      <c r="Z6" s="838"/>
      <c r="AA6" s="838"/>
      <c r="AB6" s="839"/>
    </row>
    <row r="7" spans="2:28" ht="18" customHeight="1">
      <c r="B7" s="394"/>
      <c r="C7" s="842"/>
      <c r="D7" s="842"/>
      <c r="E7" s="718" t="s">
        <v>98</v>
      </c>
      <c r="F7" s="719" t="str">
        <f>IF(F2="四半期着地予測","当期実績","予算")</f>
        <v>予算</v>
      </c>
      <c r="G7" s="718" t="s">
        <v>98</v>
      </c>
      <c r="H7" s="720" t="str">
        <f>IF(F2="四半期着地予測","当期実績","予算")</f>
        <v>予算</v>
      </c>
      <c r="I7" s="721" t="s">
        <v>98</v>
      </c>
      <c r="J7" s="719" t="str">
        <f>IF(F2="四半期着地予測","当期実績","予算")</f>
        <v>予算</v>
      </c>
      <c r="K7" s="718" t="s">
        <v>98</v>
      </c>
      <c r="L7" s="719" t="s">
        <v>50</v>
      </c>
      <c r="M7" s="718" t="s">
        <v>98</v>
      </c>
      <c r="N7" s="719" t="s">
        <v>50</v>
      </c>
      <c r="O7" s="718" t="s">
        <v>98</v>
      </c>
      <c r="P7" s="719" t="s">
        <v>50</v>
      </c>
      <c r="Q7" s="718" t="s">
        <v>98</v>
      </c>
      <c r="R7" s="719" t="s">
        <v>50</v>
      </c>
      <c r="T7" s="41"/>
      <c r="U7" s="42"/>
      <c r="V7" s="42"/>
      <c r="W7" s="42"/>
      <c r="X7" s="42"/>
      <c r="Y7" s="42"/>
      <c r="Z7" s="42"/>
      <c r="AA7" s="42"/>
      <c r="AB7" s="43"/>
    </row>
    <row r="8" spans="2:28" ht="18" customHeight="1">
      <c r="B8" s="395"/>
      <c r="C8" s="397" t="s">
        <v>23</v>
      </c>
      <c r="D8" s="396"/>
      <c r="F8" s="39"/>
      <c r="G8" s="398"/>
      <c r="H8" s="40"/>
      <c r="I8" s="399"/>
      <c r="J8" s="39"/>
      <c r="K8" s="398"/>
      <c r="L8" s="40"/>
      <c r="M8" s="399"/>
      <c r="N8" s="39"/>
      <c r="O8" s="398"/>
      <c r="P8" s="40"/>
      <c r="Q8" s="400">
        <f>E8+G8+I8+K8+M8+O8</f>
        <v>0</v>
      </c>
      <c r="R8" s="401">
        <f>F8+H8+J8+L8+N8+P8</f>
        <v>0</v>
      </c>
      <c r="T8" s="41"/>
      <c r="U8" s="42"/>
      <c r="V8" s="42"/>
      <c r="W8" s="42"/>
      <c r="X8" s="42"/>
      <c r="Y8" s="42"/>
      <c r="Z8" s="42"/>
      <c r="AA8" s="42"/>
      <c r="AB8" s="43"/>
    </row>
    <row r="9" spans="2:28" ht="18" customHeight="1">
      <c r="B9" s="402"/>
      <c r="C9" s="403" t="s">
        <v>24</v>
      </c>
      <c r="D9" s="404"/>
      <c r="E9" s="405"/>
      <c r="F9" s="39"/>
      <c r="G9" s="406"/>
      <c r="H9" s="40"/>
      <c r="I9" s="407"/>
      <c r="J9" s="39"/>
      <c r="K9" s="406"/>
      <c r="L9" s="45"/>
      <c r="M9" s="407"/>
      <c r="N9" s="44"/>
      <c r="O9" s="406"/>
      <c r="P9" s="45"/>
      <c r="Q9" s="407">
        <f>E9+G9+I9+K9+M9+O9</f>
        <v>0</v>
      </c>
      <c r="R9" s="401">
        <f t="shared" ref="R9:R28" si="0">F9+H9+J9+L9+N9+P9</f>
        <v>0</v>
      </c>
      <c r="T9" s="46"/>
      <c r="U9" s="47"/>
      <c r="V9" s="47"/>
      <c r="W9" s="47"/>
      <c r="X9" s="47"/>
      <c r="Y9" s="47"/>
      <c r="Z9" s="47"/>
      <c r="AA9" s="47"/>
      <c r="AB9" s="48"/>
    </row>
    <row r="10" spans="2:28" ht="18" customHeight="1">
      <c r="B10" s="402"/>
      <c r="C10" s="734" t="s">
        <v>25</v>
      </c>
      <c r="D10" s="404"/>
      <c r="E10" s="405"/>
      <c r="F10" s="39"/>
      <c r="G10" s="406"/>
      <c r="H10" s="40"/>
      <c r="I10" s="407"/>
      <c r="J10" s="39"/>
      <c r="K10" s="406"/>
      <c r="L10" s="45"/>
      <c r="M10" s="407"/>
      <c r="N10" s="44"/>
      <c r="O10" s="406"/>
      <c r="P10" s="45"/>
      <c r="Q10" s="407">
        <f>E10+G10+I10+K10+M10+O10</f>
        <v>0</v>
      </c>
      <c r="R10" s="401">
        <f t="shared" si="0"/>
        <v>0</v>
      </c>
      <c r="T10" s="46"/>
      <c r="U10" s="47"/>
      <c r="V10" s="47"/>
      <c r="W10" s="47"/>
      <c r="X10" s="47"/>
      <c r="Y10" s="47"/>
      <c r="Z10" s="47"/>
      <c r="AA10" s="47"/>
      <c r="AB10" s="48"/>
    </row>
    <row r="11" spans="2:28" ht="18" customHeight="1">
      <c r="B11" s="402"/>
      <c r="C11" s="734" t="s">
        <v>26</v>
      </c>
      <c r="D11" s="404"/>
      <c r="E11" s="405"/>
      <c r="F11" s="39"/>
      <c r="G11" s="406"/>
      <c r="H11" s="40"/>
      <c r="I11" s="407"/>
      <c r="J11" s="39"/>
      <c r="K11" s="406"/>
      <c r="L11" s="45"/>
      <c r="M11" s="407"/>
      <c r="N11" s="44"/>
      <c r="O11" s="406"/>
      <c r="P11" s="45"/>
      <c r="Q11" s="407">
        <f t="shared" ref="Q11:Q28" si="1">E11+G11+I11+K11+M11+O11</f>
        <v>0</v>
      </c>
      <c r="R11" s="401">
        <f t="shared" si="0"/>
        <v>0</v>
      </c>
      <c r="T11" s="46"/>
      <c r="U11" s="47"/>
      <c r="V11" s="47"/>
      <c r="W11" s="47"/>
      <c r="X11" s="47"/>
      <c r="Y11" s="47"/>
      <c r="Z11" s="47"/>
      <c r="AA11" s="47"/>
      <c r="AB11" s="48"/>
    </row>
    <row r="12" spans="2:28" ht="18" customHeight="1">
      <c r="B12" s="402"/>
      <c r="C12" s="403" t="s">
        <v>27</v>
      </c>
      <c r="D12" s="404"/>
      <c r="E12" s="405"/>
      <c r="F12" s="39"/>
      <c r="G12" s="406"/>
      <c r="H12" s="40"/>
      <c r="I12" s="407"/>
      <c r="J12" s="39"/>
      <c r="K12" s="406"/>
      <c r="L12" s="45"/>
      <c r="M12" s="407"/>
      <c r="N12" s="44"/>
      <c r="O12" s="406"/>
      <c r="P12" s="45"/>
      <c r="Q12" s="407">
        <f t="shared" si="1"/>
        <v>0</v>
      </c>
      <c r="R12" s="401">
        <f t="shared" si="0"/>
        <v>0</v>
      </c>
      <c r="T12" s="46"/>
      <c r="U12" s="47"/>
      <c r="V12" s="47"/>
      <c r="W12" s="47"/>
      <c r="X12" s="47"/>
      <c r="Y12" s="47"/>
      <c r="Z12" s="47"/>
      <c r="AA12" s="47"/>
      <c r="AB12" s="48"/>
    </row>
    <row r="13" spans="2:28" ht="18" customHeight="1">
      <c r="B13" s="402"/>
      <c r="C13" s="403" t="s">
        <v>28</v>
      </c>
      <c r="D13" s="404"/>
      <c r="E13" s="405"/>
      <c r="F13" s="39"/>
      <c r="G13" s="406"/>
      <c r="H13" s="40"/>
      <c r="I13" s="407"/>
      <c r="J13" s="39"/>
      <c r="K13" s="406"/>
      <c r="L13" s="45"/>
      <c r="M13" s="407"/>
      <c r="N13" s="44"/>
      <c r="O13" s="406"/>
      <c r="P13" s="45"/>
      <c r="Q13" s="407">
        <f t="shared" si="1"/>
        <v>0</v>
      </c>
      <c r="R13" s="401">
        <f t="shared" si="0"/>
        <v>0</v>
      </c>
      <c r="T13" s="46"/>
      <c r="U13" s="47"/>
      <c r="V13" s="47"/>
      <c r="W13" s="47"/>
      <c r="X13" s="47"/>
      <c r="Y13" s="47"/>
      <c r="Z13" s="47"/>
      <c r="AA13" s="47"/>
      <c r="AB13" s="48"/>
    </row>
    <row r="14" spans="2:28" ht="18" customHeight="1">
      <c r="B14" s="402"/>
      <c r="C14" s="403" t="s">
        <v>29</v>
      </c>
      <c r="D14" s="404"/>
      <c r="E14" s="405"/>
      <c r="F14" s="39"/>
      <c r="G14" s="406"/>
      <c r="H14" s="40"/>
      <c r="I14" s="407"/>
      <c r="J14" s="39"/>
      <c r="K14" s="406"/>
      <c r="L14" s="45"/>
      <c r="M14" s="407"/>
      <c r="N14" s="44"/>
      <c r="O14" s="406"/>
      <c r="P14" s="45"/>
      <c r="Q14" s="407">
        <f t="shared" si="1"/>
        <v>0</v>
      </c>
      <c r="R14" s="401">
        <f t="shared" si="0"/>
        <v>0</v>
      </c>
      <c r="T14" s="46"/>
      <c r="U14" s="47"/>
      <c r="V14" s="47"/>
      <c r="W14" s="47"/>
      <c r="X14" s="47"/>
      <c r="Y14" s="47"/>
      <c r="Z14" s="47"/>
      <c r="AA14" s="47"/>
      <c r="AB14" s="48"/>
    </row>
    <row r="15" spans="2:28" ht="18" customHeight="1">
      <c r="B15" s="402"/>
      <c r="C15" s="403" t="s">
        <v>30</v>
      </c>
      <c r="D15" s="404"/>
      <c r="E15" s="405"/>
      <c r="F15" s="39"/>
      <c r="G15" s="406"/>
      <c r="H15" s="40"/>
      <c r="I15" s="407"/>
      <c r="J15" s="39"/>
      <c r="K15" s="406"/>
      <c r="L15" s="45"/>
      <c r="M15" s="407"/>
      <c r="N15" s="44"/>
      <c r="O15" s="406"/>
      <c r="P15" s="45"/>
      <c r="Q15" s="407">
        <f t="shared" si="1"/>
        <v>0</v>
      </c>
      <c r="R15" s="401">
        <f t="shared" si="0"/>
        <v>0</v>
      </c>
      <c r="T15" s="46"/>
      <c r="U15" s="47"/>
      <c r="V15" s="47"/>
      <c r="W15" s="47"/>
      <c r="X15" s="47"/>
      <c r="Y15" s="47"/>
      <c r="Z15" s="47"/>
      <c r="AA15" s="47"/>
      <c r="AB15" s="48"/>
    </row>
    <row r="16" spans="2:28" ht="18" customHeight="1">
      <c r="B16" s="402"/>
      <c r="C16" s="403" t="s">
        <v>31</v>
      </c>
      <c r="D16" s="404"/>
      <c r="E16" s="405"/>
      <c r="F16" s="39"/>
      <c r="G16" s="406"/>
      <c r="H16" s="40"/>
      <c r="I16" s="407"/>
      <c r="J16" s="39"/>
      <c r="K16" s="406"/>
      <c r="L16" s="45"/>
      <c r="M16" s="407"/>
      <c r="N16" s="44"/>
      <c r="O16" s="406"/>
      <c r="P16" s="45"/>
      <c r="Q16" s="407">
        <f t="shared" si="1"/>
        <v>0</v>
      </c>
      <c r="R16" s="401">
        <f t="shared" si="0"/>
        <v>0</v>
      </c>
      <c r="T16" s="46"/>
      <c r="U16" s="47"/>
      <c r="V16" s="47"/>
      <c r="W16" s="47"/>
      <c r="X16" s="47"/>
      <c r="Y16" s="47"/>
      <c r="Z16" s="47"/>
      <c r="AA16" s="47"/>
      <c r="AB16" s="48"/>
    </row>
    <row r="17" spans="1:28" ht="18" customHeight="1">
      <c r="B17" s="402"/>
      <c r="C17" s="403" t="s">
        <v>32</v>
      </c>
      <c r="D17" s="404"/>
      <c r="E17" s="405"/>
      <c r="F17" s="39"/>
      <c r="G17" s="406"/>
      <c r="H17" s="40"/>
      <c r="I17" s="407"/>
      <c r="J17" s="39"/>
      <c r="K17" s="406"/>
      <c r="L17" s="45"/>
      <c r="M17" s="407"/>
      <c r="N17" s="44"/>
      <c r="O17" s="406"/>
      <c r="P17" s="45"/>
      <c r="Q17" s="407">
        <f t="shared" si="1"/>
        <v>0</v>
      </c>
      <c r="R17" s="401">
        <f t="shared" si="0"/>
        <v>0</v>
      </c>
      <c r="T17" s="46"/>
      <c r="U17" s="47"/>
      <c r="V17" s="47"/>
      <c r="W17" s="47"/>
      <c r="X17" s="47"/>
      <c r="Y17" s="47"/>
      <c r="Z17" s="47"/>
      <c r="AA17" s="47"/>
      <c r="AB17" s="48"/>
    </row>
    <row r="18" spans="1:28" ht="18" customHeight="1">
      <c r="B18" s="402"/>
      <c r="C18" s="403" t="s">
        <v>33</v>
      </c>
      <c r="D18" s="404"/>
      <c r="E18" s="405"/>
      <c r="F18" s="39"/>
      <c r="G18" s="406"/>
      <c r="H18" s="40"/>
      <c r="I18" s="407"/>
      <c r="J18" s="39"/>
      <c r="K18" s="406"/>
      <c r="L18" s="45"/>
      <c r="M18" s="407"/>
      <c r="N18" s="44"/>
      <c r="O18" s="406"/>
      <c r="P18" s="45"/>
      <c r="Q18" s="407">
        <f t="shared" si="1"/>
        <v>0</v>
      </c>
      <c r="R18" s="401">
        <f t="shared" si="0"/>
        <v>0</v>
      </c>
      <c r="T18" s="46"/>
      <c r="U18" s="47"/>
      <c r="V18" s="47"/>
      <c r="W18" s="47"/>
      <c r="X18" s="47"/>
      <c r="Y18" s="47"/>
      <c r="Z18" s="47"/>
      <c r="AA18" s="47"/>
      <c r="AB18" s="48"/>
    </row>
    <row r="19" spans="1:28" ht="18" customHeight="1">
      <c r="B19" s="402"/>
      <c r="C19" s="403" t="s">
        <v>34</v>
      </c>
      <c r="D19" s="404"/>
      <c r="E19" s="405"/>
      <c r="F19" s="39"/>
      <c r="G19" s="406"/>
      <c r="H19" s="40"/>
      <c r="I19" s="407"/>
      <c r="J19" s="39"/>
      <c r="K19" s="406"/>
      <c r="L19" s="45"/>
      <c r="M19" s="407"/>
      <c r="N19" s="44"/>
      <c r="O19" s="406"/>
      <c r="P19" s="45"/>
      <c r="Q19" s="407">
        <f t="shared" si="1"/>
        <v>0</v>
      </c>
      <c r="R19" s="401">
        <f t="shared" si="0"/>
        <v>0</v>
      </c>
      <c r="T19" s="46"/>
      <c r="U19" s="47"/>
      <c r="V19" s="47"/>
      <c r="W19" s="47"/>
      <c r="X19" s="47"/>
      <c r="Y19" s="47"/>
      <c r="Z19" s="47"/>
      <c r="AA19" s="47"/>
      <c r="AB19" s="48"/>
    </row>
    <row r="20" spans="1:28" ht="18" customHeight="1">
      <c r="B20" s="402"/>
      <c r="C20" s="403" t="s">
        <v>35</v>
      </c>
      <c r="D20" s="404"/>
      <c r="E20" s="405"/>
      <c r="F20" s="39"/>
      <c r="G20" s="406"/>
      <c r="H20" s="40"/>
      <c r="I20" s="407"/>
      <c r="J20" s="39"/>
      <c r="K20" s="406"/>
      <c r="L20" s="45"/>
      <c r="M20" s="407"/>
      <c r="N20" s="44"/>
      <c r="O20" s="406"/>
      <c r="P20" s="45"/>
      <c r="Q20" s="407">
        <f t="shared" si="1"/>
        <v>0</v>
      </c>
      <c r="R20" s="401">
        <f t="shared" si="0"/>
        <v>0</v>
      </c>
      <c r="T20" s="46"/>
      <c r="U20" s="47"/>
      <c r="V20" s="47"/>
      <c r="W20" s="47"/>
      <c r="X20" s="47"/>
      <c r="Y20" s="47"/>
      <c r="Z20" s="47"/>
      <c r="AA20" s="47"/>
      <c r="AB20" s="48"/>
    </row>
    <row r="21" spans="1:28" ht="18" customHeight="1">
      <c r="B21" s="402"/>
      <c r="C21" s="403" t="s">
        <v>36</v>
      </c>
      <c r="D21" s="404"/>
      <c r="E21" s="405"/>
      <c r="F21" s="39"/>
      <c r="G21" s="406"/>
      <c r="H21" s="40"/>
      <c r="I21" s="407"/>
      <c r="J21" s="39"/>
      <c r="K21" s="406"/>
      <c r="L21" s="45"/>
      <c r="M21" s="407"/>
      <c r="N21" s="44"/>
      <c r="O21" s="406"/>
      <c r="P21" s="45"/>
      <c r="Q21" s="407">
        <f t="shared" si="1"/>
        <v>0</v>
      </c>
      <c r="R21" s="401">
        <f t="shared" si="0"/>
        <v>0</v>
      </c>
      <c r="T21" s="46"/>
      <c r="U21" s="47"/>
      <c r="V21" s="47"/>
      <c r="W21" s="47"/>
      <c r="X21" s="47"/>
      <c r="Y21" s="47"/>
      <c r="Z21" s="47"/>
      <c r="AA21" s="47"/>
      <c r="AB21" s="48"/>
    </row>
    <row r="22" spans="1:28" ht="18" customHeight="1">
      <c r="B22" s="402"/>
      <c r="C22" s="403" t="s">
        <v>37</v>
      </c>
      <c r="D22" s="404"/>
      <c r="E22" s="405"/>
      <c r="F22" s="39"/>
      <c r="G22" s="406"/>
      <c r="H22" s="40"/>
      <c r="I22" s="407"/>
      <c r="J22" s="39"/>
      <c r="K22" s="406"/>
      <c r="L22" s="45"/>
      <c r="M22" s="407"/>
      <c r="N22" s="44"/>
      <c r="O22" s="406"/>
      <c r="P22" s="45"/>
      <c r="Q22" s="407">
        <f t="shared" si="1"/>
        <v>0</v>
      </c>
      <c r="R22" s="401">
        <f t="shared" si="0"/>
        <v>0</v>
      </c>
      <c r="T22" s="46"/>
      <c r="U22" s="47"/>
      <c r="V22" s="47"/>
      <c r="W22" s="47"/>
      <c r="X22" s="47"/>
      <c r="Y22" s="47"/>
      <c r="Z22" s="47"/>
      <c r="AA22" s="47"/>
      <c r="AB22" s="48"/>
    </row>
    <row r="23" spans="1:28" ht="18" customHeight="1">
      <c r="B23" s="402"/>
      <c r="C23" s="403" t="s">
        <v>38</v>
      </c>
      <c r="D23" s="404"/>
      <c r="E23" s="405"/>
      <c r="F23" s="39"/>
      <c r="G23" s="406"/>
      <c r="H23" s="40"/>
      <c r="I23" s="407"/>
      <c r="J23" s="39"/>
      <c r="K23" s="406"/>
      <c r="L23" s="45"/>
      <c r="M23" s="407"/>
      <c r="N23" s="44"/>
      <c r="O23" s="406"/>
      <c r="P23" s="45"/>
      <c r="Q23" s="407">
        <f t="shared" si="1"/>
        <v>0</v>
      </c>
      <c r="R23" s="401">
        <f t="shared" si="0"/>
        <v>0</v>
      </c>
      <c r="T23" s="46"/>
      <c r="U23" s="47"/>
      <c r="V23" s="47"/>
      <c r="W23" s="47"/>
      <c r="X23" s="47"/>
      <c r="Y23" s="47"/>
      <c r="Z23" s="47"/>
      <c r="AA23" s="47"/>
      <c r="AB23" s="48"/>
    </row>
    <row r="24" spans="1:28" ht="18" customHeight="1">
      <c r="B24" s="402"/>
      <c r="C24" s="403" t="s">
        <v>39</v>
      </c>
      <c r="D24" s="404"/>
      <c r="E24" s="405"/>
      <c r="F24" s="39"/>
      <c r="G24" s="406"/>
      <c r="H24" s="40"/>
      <c r="I24" s="407"/>
      <c r="J24" s="39"/>
      <c r="K24" s="406"/>
      <c r="L24" s="45"/>
      <c r="M24" s="407"/>
      <c r="N24" s="44"/>
      <c r="O24" s="406"/>
      <c r="P24" s="45"/>
      <c r="Q24" s="407">
        <f t="shared" si="1"/>
        <v>0</v>
      </c>
      <c r="R24" s="401">
        <f t="shared" si="0"/>
        <v>0</v>
      </c>
      <c r="T24" s="46"/>
      <c r="U24" s="47"/>
      <c r="V24" s="47"/>
      <c r="W24" s="47"/>
      <c r="X24" s="47"/>
      <c r="Y24" s="47"/>
      <c r="Z24" s="47"/>
      <c r="AA24" s="47"/>
      <c r="AB24" s="48"/>
    </row>
    <row r="25" spans="1:28" ht="18" customHeight="1">
      <c r="B25" s="402"/>
      <c r="C25" s="403" t="s">
        <v>40</v>
      </c>
      <c r="D25" s="404"/>
      <c r="E25" s="405"/>
      <c r="F25" s="39"/>
      <c r="G25" s="406"/>
      <c r="H25" s="40"/>
      <c r="I25" s="407"/>
      <c r="J25" s="39"/>
      <c r="K25" s="406"/>
      <c r="L25" s="45"/>
      <c r="M25" s="407"/>
      <c r="N25" s="44"/>
      <c r="O25" s="406"/>
      <c r="P25" s="45"/>
      <c r="Q25" s="407">
        <f t="shared" si="1"/>
        <v>0</v>
      </c>
      <c r="R25" s="401">
        <f t="shared" si="0"/>
        <v>0</v>
      </c>
      <c r="T25" s="46"/>
      <c r="U25" s="47"/>
      <c r="V25" s="47"/>
      <c r="W25" s="47"/>
      <c r="X25" s="47"/>
      <c r="Y25" s="47"/>
      <c r="Z25" s="47"/>
      <c r="AA25" s="47"/>
      <c r="AB25" s="48"/>
    </row>
    <row r="26" spans="1:28" ht="18" customHeight="1">
      <c r="B26" s="402"/>
      <c r="C26" s="403" t="s">
        <v>17</v>
      </c>
      <c r="D26" s="404"/>
      <c r="E26" s="405"/>
      <c r="F26" s="39"/>
      <c r="G26" s="406"/>
      <c r="H26" s="40"/>
      <c r="I26" s="407"/>
      <c r="J26" s="39"/>
      <c r="K26" s="406"/>
      <c r="L26" s="45"/>
      <c r="M26" s="407"/>
      <c r="N26" s="44"/>
      <c r="O26" s="406"/>
      <c r="P26" s="45"/>
      <c r="Q26" s="407">
        <f t="shared" si="1"/>
        <v>0</v>
      </c>
      <c r="R26" s="401">
        <f t="shared" si="0"/>
        <v>0</v>
      </c>
      <c r="T26" s="46"/>
      <c r="U26" s="47"/>
      <c r="V26" s="47"/>
      <c r="W26" s="47"/>
      <c r="X26" s="47"/>
      <c r="Y26" s="47"/>
      <c r="Z26" s="47"/>
      <c r="AA26" s="47"/>
      <c r="AB26" s="48"/>
    </row>
    <row r="27" spans="1:28" ht="18" customHeight="1">
      <c r="B27" s="402"/>
      <c r="C27" s="403" t="s">
        <v>41</v>
      </c>
      <c r="D27" s="404"/>
      <c r="E27" s="405"/>
      <c r="F27" s="39"/>
      <c r="G27" s="406"/>
      <c r="H27" s="40"/>
      <c r="I27" s="407"/>
      <c r="J27" s="39"/>
      <c r="K27" s="406"/>
      <c r="L27" s="45"/>
      <c r="M27" s="407"/>
      <c r="N27" s="44"/>
      <c r="O27" s="406"/>
      <c r="P27" s="45"/>
      <c r="Q27" s="407">
        <f t="shared" si="1"/>
        <v>0</v>
      </c>
      <c r="R27" s="401">
        <f t="shared" si="0"/>
        <v>0</v>
      </c>
      <c r="T27" s="46"/>
      <c r="U27" s="47"/>
      <c r="V27" s="47"/>
      <c r="W27" s="47"/>
      <c r="X27" s="47"/>
      <c r="Y27" s="47"/>
      <c r="Z27" s="47"/>
      <c r="AA27" s="47"/>
      <c r="AB27" s="48"/>
    </row>
    <row r="28" spans="1:28" ht="18" customHeight="1">
      <c r="B28" s="402"/>
      <c r="C28" s="403" t="s">
        <v>42</v>
      </c>
      <c r="D28" s="404"/>
      <c r="E28" s="405"/>
      <c r="F28" s="39"/>
      <c r="G28" s="406"/>
      <c r="H28" s="40"/>
      <c r="I28" s="407"/>
      <c r="J28" s="39"/>
      <c r="K28" s="406"/>
      <c r="L28" s="45"/>
      <c r="M28" s="407"/>
      <c r="N28" s="44"/>
      <c r="O28" s="406"/>
      <c r="P28" s="45"/>
      <c r="Q28" s="407">
        <f t="shared" si="1"/>
        <v>0</v>
      </c>
      <c r="R28" s="401">
        <f t="shared" si="0"/>
        <v>0</v>
      </c>
      <c r="T28" s="46"/>
      <c r="U28" s="47"/>
      <c r="V28" s="47"/>
      <c r="W28" s="47"/>
      <c r="X28" s="47"/>
      <c r="Y28" s="47"/>
      <c r="Z28" s="47"/>
      <c r="AA28" s="47"/>
      <c r="AB28" s="48"/>
    </row>
    <row r="29" spans="1:28" ht="18" customHeight="1">
      <c r="B29" s="408"/>
      <c r="C29" s="409"/>
      <c r="D29" s="410"/>
      <c r="E29" s="409"/>
      <c r="F29" s="411"/>
      <c r="G29" s="412"/>
      <c r="H29" s="413"/>
      <c r="I29" s="414"/>
      <c r="J29" s="411"/>
      <c r="K29" s="415"/>
      <c r="L29" s="413"/>
      <c r="M29" s="414"/>
      <c r="N29" s="411"/>
      <c r="O29" s="415"/>
      <c r="P29" s="413"/>
      <c r="Q29" s="414"/>
      <c r="R29" s="416"/>
      <c r="T29" s="46"/>
      <c r="U29" s="47"/>
      <c r="V29" s="47"/>
      <c r="W29" s="47"/>
      <c r="X29" s="47"/>
      <c r="Y29" s="47"/>
      <c r="Z29" s="47"/>
      <c r="AA29" s="47"/>
      <c r="AB29" s="48"/>
    </row>
    <row r="30" spans="1:28" ht="18" customHeight="1">
      <c r="B30" s="417"/>
      <c r="C30" s="418" t="s">
        <v>18</v>
      </c>
      <c r="D30" s="419"/>
      <c r="E30" s="420">
        <f t="shared" ref="E30:R30" si="2">SUM(E8:E29)</f>
        <v>0</v>
      </c>
      <c r="F30" s="115">
        <f t="shared" si="2"/>
        <v>0</v>
      </c>
      <c r="G30" s="420">
        <f t="shared" si="2"/>
        <v>0</v>
      </c>
      <c r="H30" s="115">
        <f t="shared" si="2"/>
        <v>0</v>
      </c>
      <c r="I30" s="420">
        <f t="shared" si="2"/>
        <v>0</v>
      </c>
      <c r="J30" s="115">
        <f t="shared" si="2"/>
        <v>0</v>
      </c>
      <c r="K30" s="420">
        <f t="shared" si="2"/>
        <v>0</v>
      </c>
      <c r="L30" s="115">
        <f t="shared" si="2"/>
        <v>0</v>
      </c>
      <c r="M30" s="420">
        <f t="shared" si="2"/>
        <v>0</v>
      </c>
      <c r="N30" s="115">
        <f t="shared" si="2"/>
        <v>0</v>
      </c>
      <c r="O30" s="420">
        <f t="shared" si="2"/>
        <v>0</v>
      </c>
      <c r="P30" s="115">
        <f t="shared" si="2"/>
        <v>0</v>
      </c>
      <c r="Q30" s="420">
        <f t="shared" si="2"/>
        <v>0</v>
      </c>
      <c r="R30" s="115">
        <f t="shared" si="2"/>
        <v>0</v>
      </c>
      <c r="T30" s="121"/>
      <c r="U30" s="119"/>
      <c r="V30" s="119"/>
      <c r="W30" s="119"/>
      <c r="X30" s="119"/>
      <c r="Y30" s="119"/>
      <c r="Z30" s="119"/>
      <c r="AA30" s="119"/>
      <c r="AB30" s="120"/>
    </row>
    <row r="31" spans="1:28" ht="18" customHeight="1">
      <c r="C31" s="380" t="s">
        <v>175</v>
      </c>
    </row>
    <row r="32" spans="1:28" ht="18" customHeight="1">
      <c r="A32" s="396"/>
      <c r="B32" s="462"/>
      <c r="C32" s="453"/>
      <c r="D32" s="453"/>
      <c r="E32" s="453"/>
      <c r="F32" s="453"/>
      <c r="G32" s="454"/>
      <c r="H32" s="454"/>
      <c r="I32" s="454"/>
      <c r="J32" s="454"/>
      <c r="K32" s="454"/>
      <c r="L32" s="454"/>
      <c r="M32" s="454"/>
      <c r="N32" s="454"/>
      <c r="O32" s="454"/>
      <c r="P32" s="454"/>
      <c r="Q32" s="454"/>
      <c r="R32" s="454"/>
      <c r="S32" s="454"/>
      <c r="T32" s="454"/>
      <c r="U32" s="454"/>
      <c r="V32" s="454"/>
      <c r="W32" s="453"/>
      <c r="X32" s="455"/>
      <c r="Y32" s="455"/>
      <c r="Z32" s="453"/>
      <c r="AA32" s="453"/>
      <c r="AB32" s="456"/>
    </row>
    <row r="33" spans="1:28" ht="18" customHeight="1">
      <c r="B33" s="46"/>
      <c r="C33" s="47"/>
      <c r="D33" s="47"/>
      <c r="E33" s="47"/>
      <c r="F33" s="47"/>
      <c r="G33" s="47"/>
      <c r="H33" s="47"/>
      <c r="I33" s="47"/>
      <c r="J33" s="47"/>
      <c r="K33" s="47"/>
      <c r="L33" s="47"/>
      <c r="M33" s="47"/>
      <c r="N33" s="47"/>
      <c r="O33" s="47"/>
      <c r="P33" s="47"/>
      <c r="Q33" s="47"/>
      <c r="R33" s="47"/>
      <c r="S33" s="47"/>
      <c r="T33" s="47"/>
      <c r="U33" s="457"/>
      <c r="V33" s="47"/>
      <c r="W33" s="47"/>
      <c r="X33" s="47"/>
      <c r="Y33" s="49"/>
      <c r="Z33" s="47"/>
      <c r="AA33" s="47"/>
      <c r="AB33" s="48"/>
    </row>
    <row r="34" spans="1:28" ht="18" customHeight="1">
      <c r="B34" s="46"/>
      <c r="C34" s="47"/>
      <c r="D34" s="458"/>
      <c r="E34" s="47"/>
      <c r="F34" s="47"/>
      <c r="G34" s="47"/>
      <c r="H34" s="47"/>
      <c r="I34" s="47"/>
      <c r="J34" s="47"/>
      <c r="K34" s="47"/>
      <c r="L34" s="47"/>
      <c r="M34" s="47"/>
      <c r="N34" s="47"/>
      <c r="O34" s="47"/>
      <c r="P34" s="47"/>
      <c r="Q34" s="47"/>
      <c r="R34" s="47"/>
      <c r="S34" s="49"/>
      <c r="T34" s="47"/>
      <c r="U34" s="459"/>
      <c r="V34" s="47"/>
      <c r="W34" s="47"/>
      <c r="X34" s="47"/>
      <c r="Y34" s="49"/>
      <c r="Z34" s="47"/>
      <c r="AA34" s="47"/>
      <c r="AB34" s="48"/>
    </row>
    <row r="35" spans="1:28" ht="18" customHeight="1">
      <c r="B35" s="46"/>
      <c r="C35" s="47"/>
      <c r="D35" s="458"/>
      <c r="E35" s="47"/>
      <c r="F35" s="47"/>
      <c r="G35" s="47"/>
      <c r="H35" s="47"/>
      <c r="I35" s="47"/>
      <c r="J35" s="47"/>
      <c r="K35" s="47"/>
      <c r="L35" s="47"/>
      <c r="M35" s="47"/>
      <c r="N35" s="47"/>
      <c r="O35" s="47"/>
      <c r="P35" s="47"/>
      <c r="Q35" s="47"/>
      <c r="R35" s="47"/>
      <c r="S35" s="49"/>
      <c r="T35" s="47"/>
      <c r="U35" s="459"/>
      <c r="V35" s="47"/>
      <c r="W35" s="47"/>
      <c r="X35" s="47"/>
      <c r="Y35" s="49"/>
      <c r="Z35" s="47"/>
      <c r="AA35" s="47"/>
      <c r="AB35" s="48"/>
    </row>
    <row r="36" spans="1:28" ht="18" customHeight="1">
      <c r="B36" s="46"/>
      <c r="C36" s="47"/>
      <c r="D36" s="458"/>
      <c r="E36" s="47"/>
      <c r="F36" s="47"/>
      <c r="G36" s="47"/>
      <c r="H36" s="47"/>
      <c r="I36" s="47"/>
      <c r="J36" s="47"/>
      <c r="K36" s="47"/>
      <c r="L36" s="47"/>
      <c r="M36" s="47"/>
      <c r="N36" s="47"/>
      <c r="O36" s="47"/>
      <c r="P36" s="47"/>
      <c r="Q36" s="47"/>
      <c r="R36" s="47"/>
      <c r="S36" s="49"/>
      <c r="T36" s="47"/>
      <c r="U36" s="459"/>
      <c r="V36" s="47"/>
      <c r="W36" s="47"/>
      <c r="X36" s="47"/>
      <c r="Y36" s="49"/>
      <c r="Z36" s="47"/>
      <c r="AA36" s="47"/>
      <c r="AB36" s="48"/>
    </row>
    <row r="37" spans="1:28" ht="18" customHeight="1">
      <c r="B37" s="46"/>
      <c r="C37" s="47"/>
      <c r="D37" s="458"/>
      <c r="E37" s="47"/>
      <c r="F37" s="47"/>
      <c r="G37" s="47"/>
      <c r="H37" s="47"/>
      <c r="I37" s="47"/>
      <c r="J37" s="47"/>
      <c r="K37" s="47"/>
      <c r="L37" s="47"/>
      <c r="M37" s="47"/>
      <c r="N37" s="47"/>
      <c r="O37" s="47"/>
      <c r="P37" s="47"/>
      <c r="Q37" s="47"/>
      <c r="R37" s="47"/>
      <c r="S37" s="49"/>
      <c r="T37" s="47"/>
      <c r="U37" s="459"/>
      <c r="V37" s="47"/>
      <c r="W37" s="47"/>
      <c r="X37" s="47"/>
      <c r="Y37" s="49"/>
      <c r="Z37" s="47"/>
      <c r="AA37" s="47"/>
      <c r="AB37" s="48"/>
    </row>
    <row r="38" spans="1:28" ht="18" customHeight="1">
      <c r="B38" s="46"/>
      <c r="C38" s="47"/>
      <c r="D38" s="458"/>
      <c r="E38" s="47"/>
      <c r="F38" s="47"/>
      <c r="G38" s="47"/>
      <c r="H38" s="47"/>
      <c r="I38" s="47"/>
      <c r="J38" s="47"/>
      <c r="K38" s="47"/>
      <c r="L38" s="47"/>
      <c r="M38" s="47"/>
      <c r="N38" s="47"/>
      <c r="O38" s="47"/>
      <c r="P38" s="47"/>
      <c r="Q38" s="47"/>
      <c r="R38" s="47"/>
      <c r="S38" s="49"/>
      <c r="T38" s="47"/>
      <c r="U38" s="459"/>
      <c r="V38" s="47"/>
      <c r="W38" s="47"/>
      <c r="X38" s="47"/>
      <c r="Y38" s="49"/>
      <c r="Z38" s="47"/>
      <c r="AA38" s="47"/>
      <c r="AB38" s="48"/>
    </row>
    <row r="39" spans="1:28" ht="18" customHeight="1">
      <c r="B39" s="46"/>
      <c r="C39" s="47"/>
      <c r="D39" s="458"/>
      <c r="E39" s="47"/>
      <c r="F39" s="47"/>
      <c r="G39" s="47"/>
      <c r="H39" s="47"/>
      <c r="I39" s="47"/>
      <c r="J39" s="47"/>
      <c r="K39" s="47"/>
      <c r="L39" s="47"/>
      <c r="M39" s="47"/>
      <c r="N39" s="47"/>
      <c r="O39" s="47"/>
      <c r="P39" s="47"/>
      <c r="Q39" s="47"/>
      <c r="R39" s="47"/>
      <c r="S39" s="49"/>
      <c r="T39" s="47"/>
      <c r="U39" s="459"/>
      <c r="V39" s="47"/>
      <c r="W39" s="47"/>
      <c r="X39" s="47"/>
      <c r="Y39" s="49"/>
      <c r="Z39" s="47"/>
      <c r="AA39" s="47"/>
      <c r="AB39" s="48"/>
    </row>
    <row r="40" spans="1:28" ht="18" customHeight="1">
      <c r="B40" s="46"/>
      <c r="C40" s="47"/>
      <c r="D40" s="458"/>
      <c r="E40" s="47"/>
      <c r="F40" s="47"/>
      <c r="G40" s="47"/>
      <c r="H40" s="47"/>
      <c r="I40" s="47"/>
      <c r="J40" s="47"/>
      <c r="K40" s="47"/>
      <c r="L40" s="47"/>
      <c r="M40" s="47"/>
      <c r="N40" s="47"/>
      <c r="O40" s="47"/>
      <c r="P40" s="47"/>
      <c r="Q40" s="47"/>
      <c r="R40" s="47"/>
      <c r="S40" s="49"/>
      <c r="T40" s="47"/>
      <c r="U40" s="459"/>
      <c r="V40" s="47"/>
      <c r="W40" s="47"/>
      <c r="X40" s="47"/>
      <c r="Y40" s="49"/>
      <c r="Z40" s="47"/>
      <c r="AA40" s="47"/>
      <c r="AB40" s="48"/>
    </row>
    <row r="41" spans="1:28" ht="18" customHeight="1">
      <c r="B41" s="121"/>
      <c r="C41" s="119"/>
      <c r="D41" s="460"/>
      <c r="E41" s="119"/>
      <c r="F41" s="119"/>
      <c r="G41" s="119"/>
      <c r="H41" s="119"/>
      <c r="I41" s="119"/>
      <c r="J41" s="119"/>
      <c r="K41" s="119"/>
      <c r="L41" s="119"/>
      <c r="M41" s="119"/>
      <c r="N41" s="119"/>
      <c r="O41" s="119"/>
      <c r="P41" s="119"/>
      <c r="Q41" s="119"/>
      <c r="R41" s="119"/>
      <c r="S41" s="118"/>
      <c r="T41" s="119"/>
      <c r="U41" s="461"/>
      <c r="V41" s="119"/>
      <c r="W41" s="119"/>
      <c r="X41" s="119"/>
      <c r="Y41" s="118"/>
      <c r="Z41" s="119"/>
      <c r="AA41" s="119"/>
      <c r="AB41" s="120"/>
    </row>
    <row r="42" spans="1:28" ht="18" customHeight="1">
      <c r="F42" s="253"/>
      <c r="G42" s="253"/>
      <c r="H42" s="253"/>
      <c r="I42" s="253"/>
      <c r="J42" s="253"/>
      <c r="K42" s="253"/>
      <c r="L42" s="253"/>
      <c r="M42" s="253"/>
      <c r="N42" s="253"/>
      <c r="O42" s="253"/>
      <c r="P42" s="253"/>
      <c r="Q42" s="253"/>
      <c r="R42" s="253"/>
      <c r="T42" s="380" t="s">
        <v>186</v>
      </c>
    </row>
    <row r="43" spans="1:28" ht="18" customHeight="1">
      <c r="B43" s="392"/>
      <c r="C43" s="422" t="s">
        <v>45</v>
      </c>
      <c r="D43" s="423"/>
      <c r="E43" s="424"/>
      <c r="F43" s="425">
        <f>'Ｃ１'!C15</f>
        <v>0</v>
      </c>
      <c r="G43" s="426"/>
      <c r="H43" s="427">
        <f>F43</f>
        <v>0</v>
      </c>
      <c r="I43" s="428"/>
      <c r="J43" s="425">
        <f>H43</f>
        <v>0</v>
      </c>
      <c r="K43" s="426"/>
      <c r="L43" s="427">
        <f>J43</f>
        <v>0</v>
      </c>
      <c r="M43" s="428"/>
      <c r="N43" s="425">
        <f>L43</f>
        <v>0</v>
      </c>
      <c r="O43" s="426"/>
      <c r="P43" s="427">
        <f>N43</f>
        <v>0</v>
      </c>
      <c r="Q43" s="804">
        <f>E43+G43+I43+K43+M43+O43</f>
        <v>0</v>
      </c>
      <c r="R43" s="805">
        <f>F43+H43+J43+L43+N43+P43</f>
        <v>0</v>
      </c>
      <c r="T43" s="393" t="s">
        <v>187</v>
      </c>
      <c r="U43" s="429" t="s">
        <v>188</v>
      </c>
      <c r="V43" s="430" t="e">
        <f>E6</f>
        <v>#VALUE!</v>
      </c>
      <c r="W43" s="430" t="str">
        <f>G6</f>
        <v>１月</v>
      </c>
      <c r="X43" s="430" t="str">
        <f>I6</f>
        <v>２月</v>
      </c>
      <c r="Y43" s="430" t="e">
        <f>K6</f>
        <v>#VALUE!</v>
      </c>
      <c r="Z43" s="430" t="e">
        <f>M6</f>
        <v>#VALUE!</v>
      </c>
      <c r="AA43" s="430" t="e">
        <f>O6</f>
        <v>#VALUE!</v>
      </c>
      <c r="AB43" s="431" t="s">
        <v>189</v>
      </c>
    </row>
    <row r="44" spans="1:28" ht="18" customHeight="1">
      <c r="A44" s="396"/>
      <c r="B44" s="432"/>
      <c r="C44" s="716" t="s">
        <v>106</v>
      </c>
      <c r="D44" s="434"/>
      <c r="E44" s="435">
        <f t="shared" ref="E44:R44" si="3">SUM(E30,E43)</f>
        <v>0</v>
      </c>
      <c r="F44" s="435">
        <f t="shared" si="3"/>
        <v>0</v>
      </c>
      <c r="G44" s="32">
        <f t="shared" si="3"/>
        <v>0</v>
      </c>
      <c r="H44" s="436">
        <f t="shared" si="3"/>
        <v>0</v>
      </c>
      <c r="I44" s="435">
        <f t="shared" si="3"/>
        <v>0</v>
      </c>
      <c r="J44" s="435">
        <f t="shared" si="3"/>
        <v>0</v>
      </c>
      <c r="K44" s="32">
        <f t="shared" si="3"/>
        <v>0</v>
      </c>
      <c r="L44" s="436">
        <f t="shared" si="3"/>
        <v>0</v>
      </c>
      <c r="M44" s="435">
        <f t="shared" si="3"/>
        <v>0</v>
      </c>
      <c r="N44" s="435">
        <f t="shared" si="3"/>
        <v>0</v>
      </c>
      <c r="O44" s="32">
        <f t="shared" si="3"/>
        <v>0</v>
      </c>
      <c r="P44" s="436">
        <f t="shared" si="3"/>
        <v>0</v>
      </c>
      <c r="Q44" s="806">
        <f t="shared" si="3"/>
        <v>0</v>
      </c>
      <c r="R44" s="807">
        <f t="shared" si="3"/>
        <v>0</v>
      </c>
      <c r="T44" s="463"/>
      <c r="U44" s="464"/>
      <c r="V44" s="437">
        <f t="shared" ref="V44:V53" si="4">F$30*$U44</f>
        <v>0</v>
      </c>
      <c r="W44" s="437">
        <f t="shared" ref="W44:W53" si="5">H$30*$U44</f>
        <v>0</v>
      </c>
      <c r="X44" s="437">
        <f t="shared" ref="X44:X53" si="6">J$30*$U44</f>
        <v>0</v>
      </c>
      <c r="Y44" s="437">
        <f t="shared" ref="Y44:Y53" si="7">L$30*$U44</f>
        <v>0</v>
      </c>
      <c r="Z44" s="437">
        <f t="shared" ref="Z44:Z53" si="8">N$30*$U44</f>
        <v>0</v>
      </c>
      <c r="AA44" s="437">
        <f t="shared" ref="AA44:AA53" si="9">P$30*$U44</f>
        <v>0</v>
      </c>
      <c r="AB44" s="438">
        <f>SUM(V44:AA44)</f>
        <v>0</v>
      </c>
    </row>
    <row r="45" spans="1:28" ht="18" customHeight="1">
      <c r="B45" s="421"/>
      <c r="C45" s="422" t="s">
        <v>104</v>
      </c>
      <c r="D45" s="423"/>
      <c r="E45" s="424"/>
      <c r="F45" s="425">
        <f>'Ｃ１'!C20</f>
        <v>0</v>
      </c>
      <c r="G45" s="426"/>
      <c r="H45" s="427">
        <f>'Ｃ１'!D20</f>
        <v>0</v>
      </c>
      <c r="I45" s="428"/>
      <c r="J45" s="427">
        <f>'Ｃ１'!E20</f>
        <v>0</v>
      </c>
      <c r="K45" s="426"/>
      <c r="L45" s="427">
        <f>'Ｃ１'!F20</f>
        <v>0</v>
      </c>
      <c r="M45" s="428"/>
      <c r="N45" s="427">
        <f>'Ｃ１'!G20</f>
        <v>0</v>
      </c>
      <c r="O45" s="426"/>
      <c r="P45" s="427">
        <f>'Ｃ１'!H20</f>
        <v>0</v>
      </c>
      <c r="Q45" s="804"/>
      <c r="R45" s="805">
        <f>F45+H45+J45+L45+N45+P45</f>
        <v>0</v>
      </c>
      <c r="T45" s="465"/>
      <c r="U45" s="466"/>
      <c r="V45" s="439">
        <f t="shared" si="4"/>
        <v>0</v>
      </c>
      <c r="W45" s="439">
        <f t="shared" si="5"/>
        <v>0</v>
      </c>
      <c r="X45" s="439">
        <f t="shared" si="6"/>
        <v>0</v>
      </c>
      <c r="Y45" s="439">
        <f t="shared" si="7"/>
        <v>0</v>
      </c>
      <c r="Z45" s="439">
        <f t="shared" si="8"/>
        <v>0</v>
      </c>
      <c r="AA45" s="439">
        <f t="shared" si="9"/>
        <v>0</v>
      </c>
      <c r="AB45" s="440">
        <f>SUM(V45:AA45)</f>
        <v>0</v>
      </c>
    </row>
    <row r="46" spans="1:28" ht="18" customHeight="1">
      <c r="B46" s="402"/>
      <c r="C46" s="403" t="s">
        <v>173</v>
      </c>
      <c r="D46" s="404"/>
      <c r="E46" s="405"/>
      <c r="F46" s="441">
        <f>'Ｃ１'!C21</f>
        <v>0</v>
      </c>
      <c r="G46" s="406"/>
      <c r="H46" s="442">
        <f>'Ｃ１'!D21</f>
        <v>0</v>
      </c>
      <c r="I46" s="407"/>
      <c r="J46" s="442">
        <f>'Ｃ１'!E21</f>
        <v>0</v>
      </c>
      <c r="K46" s="406"/>
      <c r="L46" s="442">
        <f>'Ｃ１'!F21</f>
        <v>0</v>
      </c>
      <c r="M46" s="407"/>
      <c r="N46" s="442">
        <f>'Ｃ１'!G21</f>
        <v>0</v>
      </c>
      <c r="O46" s="406"/>
      <c r="P46" s="442">
        <f>'Ｃ１'!H21</f>
        <v>0</v>
      </c>
      <c r="Q46" s="406"/>
      <c r="R46" s="442">
        <f>F46+H46+J46+L46+N46+P46</f>
        <v>0</v>
      </c>
      <c r="T46" s="465"/>
      <c r="U46" s="466"/>
      <c r="V46" s="439">
        <f t="shared" si="4"/>
        <v>0</v>
      </c>
      <c r="W46" s="439">
        <f t="shared" si="5"/>
        <v>0</v>
      </c>
      <c r="X46" s="439">
        <f t="shared" si="6"/>
        <v>0</v>
      </c>
      <c r="Y46" s="439">
        <f t="shared" si="7"/>
        <v>0</v>
      </c>
      <c r="Z46" s="439">
        <f t="shared" si="8"/>
        <v>0</v>
      </c>
      <c r="AA46" s="439">
        <f t="shared" si="9"/>
        <v>0</v>
      </c>
      <c r="AB46" s="440">
        <f t="shared" ref="AB46:AB53" si="10">SUM(V46:AA46)</f>
        <v>0</v>
      </c>
    </row>
    <row r="47" spans="1:28" ht="18" customHeight="1">
      <c r="B47" s="408"/>
      <c r="C47" s="443" t="s">
        <v>105</v>
      </c>
      <c r="D47" s="410"/>
      <c r="E47" s="409"/>
      <c r="F47" s="444">
        <f>'Ｃ１'!C22</f>
        <v>0</v>
      </c>
      <c r="G47" s="415"/>
      <c r="H47" s="445">
        <f>'Ｃ１'!D22</f>
        <v>0</v>
      </c>
      <c r="I47" s="414"/>
      <c r="J47" s="445">
        <f>'Ｃ１'!E22</f>
        <v>0</v>
      </c>
      <c r="K47" s="415"/>
      <c r="L47" s="445">
        <f>'Ｃ１'!F22</f>
        <v>0</v>
      </c>
      <c r="M47" s="414"/>
      <c r="N47" s="445">
        <f>'Ｃ１'!G22</f>
        <v>0</v>
      </c>
      <c r="O47" s="415"/>
      <c r="P47" s="445">
        <f>'Ｃ１'!H22</f>
        <v>0</v>
      </c>
      <c r="Q47" s="415"/>
      <c r="R47" s="445">
        <f>F47+H47+J47+L47+N47+P47</f>
        <v>0</v>
      </c>
      <c r="T47" s="465"/>
      <c r="U47" s="466"/>
      <c r="V47" s="439">
        <f t="shared" si="4"/>
        <v>0</v>
      </c>
      <c r="W47" s="439">
        <f t="shared" si="5"/>
        <v>0</v>
      </c>
      <c r="X47" s="439">
        <f t="shared" si="6"/>
        <v>0</v>
      </c>
      <c r="Y47" s="439">
        <f t="shared" si="7"/>
        <v>0</v>
      </c>
      <c r="Z47" s="439">
        <f t="shared" si="8"/>
        <v>0</v>
      </c>
      <c r="AA47" s="439">
        <f t="shared" si="9"/>
        <v>0</v>
      </c>
      <c r="AB47" s="440">
        <f t="shared" si="10"/>
        <v>0</v>
      </c>
    </row>
    <row r="48" spans="1:28" ht="18" customHeight="1">
      <c r="B48" s="417"/>
      <c r="C48" s="717" t="s">
        <v>107</v>
      </c>
      <c r="D48" s="419"/>
      <c r="E48" s="420"/>
      <c r="F48" s="446">
        <f t="shared" ref="F48:P48" si="11">SUM(F45:F47)</f>
        <v>0</v>
      </c>
      <c r="G48" s="32"/>
      <c r="H48" s="115">
        <f t="shared" si="11"/>
        <v>0</v>
      </c>
      <c r="I48" s="447"/>
      <c r="J48" s="446">
        <f t="shared" si="11"/>
        <v>0</v>
      </c>
      <c r="K48" s="32"/>
      <c r="L48" s="115">
        <f t="shared" si="11"/>
        <v>0</v>
      </c>
      <c r="M48" s="447"/>
      <c r="N48" s="446">
        <f t="shared" si="11"/>
        <v>0</v>
      </c>
      <c r="O48" s="32"/>
      <c r="P48" s="115">
        <f t="shared" si="11"/>
        <v>0</v>
      </c>
      <c r="Q48" s="32">
        <f>E48+G48+I48+K48+M48+O48</f>
        <v>0</v>
      </c>
      <c r="R48" s="115">
        <f>SUM(R45:R47)</f>
        <v>0</v>
      </c>
      <c r="T48" s="465"/>
      <c r="U48" s="466"/>
      <c r="V48" s="439">
        <f t="shared" si="4"/>
        <v>0</v>
      </c>
      <c r="W48" s="439">
        <f t="shared" si="5"/>
        <v>0</v>
      </c>
      <c r="X48" s="439">
        <f t="shared" si="6"/>
        <v>0</v>
      </c>
      <c r="Y48" s="439">
        <f t="shared" si="7"/>
        <v>0</v>
      </c>
      <c r="Z48" s="439">
        <f t="shared" si="8"/>
        <v>0</v>
      </c>
      <c r="AA48" s="439">
        <f t="shared" si="9"/>
        <v>0</v>
      </c>
      <c r="AB48" s="440">
        <f t="shared" si="10"/>
        <v>0</v>
      </c>
    </row>
    <row r="49" spans="2:28" ht="18" customHeight="1">
      <c r="F49" s="51"/>
      <c r="G49" s="51"/>
      <c r="H49" s="51"/>
      <c r="I49" s="51"/>
      <c r="J49" s="51"/>
      <c r="K49" s="51"/>
      <c r="L49" s="51"/>
      <c r="M49" s="51"/>
      <c r="N49" s="51"/>
      <c r="O49" s="51"/>
      <c r="P49" s="51"/>
      <c r="Q49" s="51"/>
      <c r="R49" s="51"/>
      <c r="T49" s="465"/>
      <c r="U49" s="466"/>
      <c r="V49" s="439">
        <f t="shared" si="4"/>
        <v>0</v>
      </c>
      <c r="W49" s="439">
        <f t="shared" si="5"/>
        <v>0</v>
      </c>
      <c r="X49" s="439">
        <f t="shared" si="6"/>
        <v>0</v>
      </c>
      <c r="Y49" s="439">
        <f t="shared" si="7"/>
        <v>0</v>
      </c>
      <c r="Z49" s="439">
        <f t="shared" si="8"/>
        <v>0</v>
      </c>
      <c r="AA49" s="439">
        <f t="shared" si="9"/>
        <v>0</v>
      </c>
      <c r="AB49" s="440">
        <f t="shared" si="10"/>
        <v>0</v>
      </c>
    </row>
    <row r="50" spans="2:28" ht="18" customHeight="1">
      <c r="B50" s="417"/>
      <c r="C50" s="448" t="s">
        <v>46</v>
      </c>
      <c r="D50" s="419"/>
      <c r="E50" s="32">
        <f>SUM(E44,E48)</f>
        <v>0</v>
      </c>
      <c r="F50" s="115">
        <f>SUM(F44,F48)</f>
        <v>0</v>
      </c>
      <c r="G50" s="32">
        <f>SUM(G44,G48)</f>
        <v>0</v>
      </c>
      <c r="H50" s="115">
        <f>SUM(H44,H48)</f>
        <v>0</v>
      </c>
      <c r="I50" s="32">
        <f>SUM(I44,I48)</f>
        <v>0</v>
      </c>
      <c r="J50" s="115">
        <f t="shared" ref="J50:R50" si="12">SUM(J44,J48)</f>
        <v>0</v>
      </c>
      <c r="K50" s="32">
        <f>SUM(K44,K48)</f>
        <v>0</v>
      </c>
      <c r="L50" s="115">
        <f t="shared" si="12"/>
        <v>0</v>
      </c>
      <c r="M50" s="32">
        <f>SUM(M44,M48)</f>
        <v>0</v>
      </c>
      <c r="N50" s="115">
        <f t="shared" si="12"/>
        <v>0</v>
      </c>
      <c r="O50" s="32">
        <f>SUM(O44,O48)</f>
        <v>0</v>
      </c>
      <c r="P50" s="115">
        <f t="shared" si="12"/>
        <v>0</v>
      </c>
      <c r="Q50" s="32">
        <f>SUM(Q44,Q48)</f>
        <v>0</v>
      </c>
      <c r="R50" s="115">
        <f t="shared" si="12"/>
        <v>0</v>
      </c>
      <c r="T50" s="465"/>
      <c r="U50" s="466"/>
      <c r="V50" s="439">
        <f t="shared" si="4"/>
        <v>0</v>
      </c>
      <c r="W50" s="439">
        <f t="shared" si="5"/>
        <v>0</v>
      </c>
      <c r="X50" s="439">
        <f t="shared" si="6"/>
        <v>0</v>
      </c>
      <c r="Y50" s="439">
        <f t="shared" si="7"/>
        <v>0</v>
      </c>
      <c r="Z50" s="439">
        <f t="shared" si="8"/>
        <v>0</v>
      </c>
      <c r="AA50" s="439">
        <f t="shared" si="9"/>
        <v>0</v>
      </c>
      <c r="AB50" s="440">
        <f t="shared" si="10"/>
        <v>0</v>
      </c>
    </row>
    <row r="51" spans="2:28" ht="18" customHeight="1">
      <c r="C51" s="449"/>
      <c r="T51" s="802"/>
      <c r="U51" s="803"/>
      <c r="V51" s="439">
        <f t="shared" ref="V51:V52" si="13">F$30*$U51</f>
        <v>0</v>
      </c>
      <c r="W51" s="439">
        <f t="shared" ref="W51:W52" si="14">H$30*$U51</f>
        <v>0</v>
      </c>
      <c r="X51" s="439">
        <f t="shared" ref="X51:X52" si="15">J$30*$U51</f>
        <v>0</v>
      </c>
      <c r="Y51" s="439">
        <f t="shared" ref="Y51:Y52" si="16">L$30*$U51</f>
        <v>0</v>
      </c>
      <c r="Z51" s="439">
        <f t="shared" ref="Z51:Z52" si="17">N$30*$U51</f>
        <v>0</v>
      </c>
      <c r="AA51" s="439">
        <f t="shared" ref="AA51:AA52" si="18">P$30*$U51</f>
        <v>0</v>
      </c>
      <c r="AB51" s="440">
        <f t="shared" ref="AB51:AB52" si="19">SUM(V51:AA51)</f>
        <v>0</v>
      </c>
    </row>
    <row r="52" spans="2:28" ht="18" customHeight="1">
      <c r="T52" s="802"/>
      <c r="U52" s="803"/>
      <c r="V52" s="439">
        <f t="shared" si="13"/>
        <v>0</v>
      </c>
      <c r="W52" s="439">
        <f t="shared" si="14"/>
        <v>0</v>
      </c>
      <c r="X52" s="439">
        <f t="shared" si="15"/>
        <v>0</v>
      </c>
      <c r="Y52" s="439">
        <f t="shared" si="16"/>
        <v>0</v>
      </c>
      <c r="Z52" s="439">
        <f t="shared" si="17"/>
        <v>0</v>
      </c>
      <c r="AA52" s="439">
        <f t="shared" si="18"/>
        <v>0</v>
      </c>
      <c r="AB52" s="440">
        <f t="shared" si="19"/>
        <v>0</v>
      </c>
    </row>
    <row r="53" spans="2:28" ht="18" customHeight="1">
      <c r="T53" s="467"/>
      <c r="U53" s="468"/>
      <c r="V53" s="450">
        <f t="shared" si="4"/>
        <v>0</v>
      </c>
      <c r="W53" s="450">
        <f t="shared" si="5"/>
        <v>0</v>
      </c>
      <c r="X53" s="450">
        <f t="shared" si="6"/>
        <v>0</v>
      </c>
      <c r="Y53" s="450">
        <f t="shared" si="7"/>
        <v>0</v>
      </c>
      <c r="Z53" s="450">
        <f t="shared" si="8"/>
        <v>0</v>
      </c>
      <c r="AA53" s="450">
        <f t="shared" si="9"/>
        <v>0</v>
      </c>
      <c r="AB53" s="722">
        <f t="shared" si="10"/>
        <v>0</v>
      </c>
    </row>
    <row r="54" spans="2:28" ht="18" customHeight="1">
      <c r="T54" s="451" t="s">
        <v>47</v>
      </c>
      <c r="U54" s="452">
        <f t="shared" ref="U54:AB54" si="20">SUM(U44:U53)</f>
        <v>0</v>
      </c>
      <c r="V54" s="391">
        <f t="shared" si="20"/>
        <v>0</v>
      </c>
      <c r="W54" s="391">
        <f t="shared" si="20"/>
        <v>0</v>
      </c>
      <c r="X54" s="391">
        <f t="shared" si="20"/>
        <v>0</v>
      </c>
      <c r="Y54" s="391">
        <f t="shared" si="20"/>
        <v>0</v>
      </c>
      <c r="Z54" s="391">
        <f t="shared" si="20"/>
        <v>0</v>
      </c>
      <c r="AA54" s="391">
        <f t="shared" si="20"/>
        <v>0</v>
      </c>
      <c r="AB54" s="391">
        <f t="shared" si="20"/>
        <v>0</v>
      </c>
    </row>
  </sheetData>
  <sheetProtection algorithmName="SHA-512" hashValue="Q/JysyJVsoRyPYZE8eui7e3tz8HAbMgwCPw3+LlxoJjRFErHzmU5lib3UAuY43iFdzIcpGSAEXrKbTV/nfiTaA==" saltValue="VwcPCOXNTAJWWDSzt0LMdg==" spinCount="100000" sheet="1" objects="1" scenarios="1"/>
  <mergeCells count="12">
    <mergeCell ref="O6:P6"/>
    <mergeCell ref="T6:AB6"/>
    <mergeCell ref="E3:F3"/>
    <mergeCell ref="C6:D7"/>
    <mergeCell ref="E6:F6"/>
    <mergeCell ref="G6:H6"/>
    <mergeCell ref="I6:J6"/>
    <mergeCell ref="Q6:R6"/>
    <mergeCell ref="K6:L6"/>
    <mergeCell ref="G3:H3"/>
    <mergeCell ref="M6:N6"/>
    <mergeCell ref="I3:K3"/>
  </mergeCells>
  <phoneticPr fontId="6"/>
  <conditionalFormatting sqref="F8:F28 H8:H28 J8:J28">
    <cfRule type="expression" dxfId="2" priority="1">
      <formula>$F$2="四半期着地予測"</formula>
    </cfRule>
  </conditionalFormatting>
  <pageMargins left="0.39370078740157483" right="0" top="0" bottom="0" header="0" footer="0"/>
  <pageSetup paperSize="9" scale="64" orientation="landscape" blackAndWhite="1" horizontalDpi="4294967292" verticalDpi="300" r:id="rId1"/>
  <headerFooter alignWithMargins="0"/>
  <ignoredErrors>
    <ignoredError sqref="R44 Q48"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683D2-CDD7-40B7-9087-AE9B45C19DBD}">
  <sheetPr codeName="Sheet2">
    <tabColor theme="0" tint="-0.249977111117893"/>
    <pageSetUpPr fitToPage="1"/>
  </sheetPr>
  <dimension ref="D2:M17"/>
  <sheetViews>
    <sheetView showGridLines="0" workbookViewId="0"/>
  </sheetViews>
  <sheetFormatPr defaultColWidth="9" defaultRowHeight="18.75" customHeight="1"/>
  <cols>
    <col min="1" max="2" width="9" style="128"/>
    <col min="3" max="3" width="2.88671875" style="128" customWidth="1"/>
    <col min="4" max="5" width="10.109375" style="128" customWidth="1"/>
    <col min="6" max="10" width="9" style="128"/>
    <col min="11" max="11" width="0.77734375" style="128" customWidth="1"/>
    <col min="12" max="12" width="9" style="128"/>
    <col min="13" max="13" width="9" style="128" customWidth="1"/>
    <col min="14" max="16384" width="9" style="128"/>
  </cols>
  <sheetData>
    <row r="2" spans="4:13" ht="18.75" customHeight="1">
      <c r="D2" s="124" t="str">
        <f>"第"&amp;基本情報!C11&amp;"期"</f>
        <v>第期</v>
      </c>
      <c r="E2" s="125" t="e">
        <f>LEFT(基本情報!C13,4) &amp; "年" &amp; MID(基本情報!C13,5,2) &amp; "月～" &amp; LEFT(基本情報!C18,4) &amp; "年" &amp; MID(基本情報!C18,5,2) &amp; "月"</f>
        <v>#VALUE!</v>
      </c>
      <c r="F2" s="126"/>
      <c r="G2" s="127"/>
      <c r="H2" s="125" t="s">
        <v>194</v>
      </c>
    </row>
    <row r="3" spans="4:13" ht="18.75" customHeight="1">
      <c r="M3" s="129"/>
    </row>
    <row r="4" spans="4:13" ht="18.75" customHeight="1">
      <c r="D4" s="130" t="s">
        <v>111</v>
      </c>
      <c r="E4" s="155">
        <f>基本情報!C4</f>
        <v>0</v>
      </c>
      <c r="F4" s="155">
        <f>基本情報!C6</f>
        <v>0</v>
      </c>
      <c r="G4" s="155"/>
      <c r="H4" s="788" t="str">
        <f>基本情報!C8&amp;"・"&amp;基本情報!C7</f>
        <v>・</v>
      </c>
      <c r="I4" s="787"/>
    </row>
    <row r="5" spans="4:13" ht="18.75" customHeight="1">
      <c r="D5" s="129" t="s">
        <v>190</v>
      </c>
      <c r="E5" s="131"/>
      <c r="F5" s="132"/>
      <c r="G5" s="132"/>
      <c r="H5" s="132"/>
      <c r="I5" s="132"/>
      <c r="J5" s="132"/>
    </row>
    <row r="6" spans="4:13" ht="18.75" customHeight="1">
      <c r="D6" s="133"/>
      <c r="E6" s="135" t="str">
        <f>(基本情報!C11-1)&amp;"期 実績"</f>
        <v>-1期 実績</v>
      </c>
      <c r="F6" s="134"/>
      <c r="H6" s="136" t="str">
        <f>(基本情報!C11)&amp;"期 予算"</f>
        <v>期 予算</v>
      </c>
      <c r="I6" s="137"/>
    </row>
    <row r="7" spans="4:13" ht="18.75" customHeight="1">
      <c r="D7" s="138"/>
      <c r="E7" s="140" t="s">
        <v>191</v>
      </c>
      <c r="F7" s="139" t="s">
        <v>192</v>
      </c>
      <c r="H7" s="140" t="s">
        <v>191</v>
      </c>
      <c r="I7" s="139" t="s">
        <v>192</v>
      </c>
    </row>
    <row r="8" spans="4:13" ht="18.75" customHeight="1">
      <c r="D8" s="156" t="s">
        <v>267</v>
      </c>
      <c r="E8" s="141"/>
      <c r="F8" s="729">
        <f>基本情報!C29</f>
        <v>0</v>
      </c>
      <c r="H8" s="141"/>
      <c r="I8" s="729">
        <f>基本情報!C30</f>
        <v>0</v>
      </c>
      <c r="L8" s="628"/>
    </row>
    <row r="9" spans="4:13" ht="18.75" customHeight="1">
      <c r="D9" s="142" t="e">
        <f>DBCS(基本情報!D13)&amp;"月"</f>
        <v>#VALUE!</v>
      </c>
      <c r="E9" s="194"/>
      <c r="F9" s="143"/>
      <c r="H9" s="194">
        <f>Ａ!D7</f>
        <v>0</v>
      </c>
      <c r="I9" s="144">
        <f t="shared" ref="I9:I14" si="0">IF(ISERR(F9*($I$8/$F$8)*(H9/E9)),0,F9*($I$8/$F$8)*(H9/E9))</f>
        <v>0</v>
      </c>
    </row>
    <row r="10" spans="4:13" ht="18.75" customHeight="1">
      <c r="D10" s="145" t="str">
        <f>DBCS(基本情報!D14)&amp;"月"</f>
        <v>１月</v>
      </c>
      <c r="E10" s="195"/>
      <c r="F10" s="146"/>
      <c r="H10" s="195">
        <f>Ａ!D8</f>
        <v>0</v>
      </c>
      <c r="I10" s="147">
        <f t="shared" si="0"/>
        <v>0</v>
      </c>
    </row>
    <row r="11" spans="4:13" ht="18.75" customHeight="1">
      <c r="D11" s="145" t="str">
        <f>DBCS(基本情報!D15)&amp;"月"</f>
        <v>２月</v>
      </c>
      <c r="E11" s="195"/>
      <c r="F11" s="146"/>
      <c r="H11" s="195">
        <f>Ａ!D9</f>
        <v>0</v>
      </c>
      <c r="I11" s="147">
        <f t="shared" si="0"/>
        <v>0</v>
      </c>
    </row>
    <row r="12" spans="4:13" ht="18.75" customHeight="1">
      <c r="D12" s="145" t="e">
        <f>DBCS(基本情報!D16)&amp;"月"</f>
        <v>#VALUE!</v>
      </c>
      <c r="E12" s="195"/>
      <c r="F12" s="146"/>
      <c r="H12" s="195">
        <f>Ａ!D10</f>
        <v>0</v>
      </c>
      <c r="I12" s="147">
        <f t="shared" si="0"/>
        <v>0</v>
      </c>
    </row>
    <row r="13" spans="4:13" ht="18.75" customHeight="1">
      <c r="D13" s="145" t="e">
        <f>DBCS(基本情報!D17)&amp;"月"</f>
        <v>#VALUE!</v>
      </c>
      <c r="E13" s="195"/>
      <c r="F13" s="146"/>
      <c r="H13" s="195">
        <f>Ａ!D11</f>
        <v>0</v>
      </c>
      <c r="I13" s="147">
        <f t="shared" si="0"/>
        <v>0</v>
      </c>
    </row>
    <row r="14" spans="4:13" ht="18.75" customHeight="1">
      <c r="D14" s="148" t="e">
        <f>DBCS(基本情報!D18)&amp;"月"</f>
        <v>#VALUE!</v>
      </c>
      <c r="E14" s="196"/>
      <c r="F14" s="149"/>
      <c r="H14" s="196">
        <f>Ａ!D12</f>
        <v>0</v>
      </c>
      <c r="I14" s="150">
        <f t="shared" si="0"/>
        <v>0</v>
      </c>
    </row>
    <row r="15" spans="4:13" ht="18.75" customHeight="1">
      <c r="D15" s="151" t="s">
        <v>195</v>
      </c>
      <c r="E15" s="152">
        <f t="shared" ref="E15:F15" si="1">SUM(E9:E14)</f>
        <v>0</v>
      </c>
      <c r="F15" s="153">
        <f t="shared" si="1"/>
        <v>0</v>
      </c>
      <c r="H15" s="152">
        <f>SUM(H9:H14)</f>
        <v>0</v>
      </c>
      <c r="I15" s="153">
        <f>SUM(I9:I14)</f>
        <v>0</v>
      </c>
    </row>
    <row r="16" spans="4:13" ht="18.75" customHeight="1">
      <c r="L16" s="154"/>
    </row>
    <row r="17" spans="4:4" ht="18.75" customHeight="1">
      <c r="D17" s="128" t="s">
        <v>193</v>
      </c>
    </row>
  </sheetData>
  <sheetProtection algorithmName="SHA-512" hashValue="St+mytd948ZpShXwawzP8JCO868NDbA84igXJHuBSSGZE+1zNxwrdE/LvbthviXNBznixIFrYxq3Ei4JpPVLaQ==" saltValue="Lkd96MXel9Mne45BDfyAMA==" spinCount="100000" sheet="1" objects="1" scenarios="1"/>
  <phoneticPr fontId="3"/>
  <pageMargins left="0.11811023622047245" right="0.11811023622047245" top="0.74803149606299213" bottom="0.74803149606299213" header="0.31496062992125984" footer="0.31496062992125984"/>
  <pageSetup paperSize="9"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BCA29-E3DA-400D-82E7-902FE58C9107}">
  <sheetPr codeName="Sheet6"/>
  <dimension ref="B1:K24"/>
  <sheetViews>
    <sheetView showGridLines="0" zoomScaleNormal="100" workbookViewId="0"/>
  </sheetViews>
  <sheetFormatPr defaultColWidth="9" defaultRowHeight="13.2"/>
  <cols>
    <col min="1" max="1" width="1.6640625" style="159" customWidth="1"/>
    <col min="2" max="2" width="2.44140625" style="159" customWidth="1"/>
    <col min="3" max="3" width="13.21875" style="159" bestFit="1" customWidth="1"/>
    <col min="4" max="4" width="12.21875" style="159" customWidth="1"/>
    <col min="5" max="5" width="3.109375" style="159" customWidth="1"/>
    <col min="6" max="11" width="9.6640625" style="159" customWidth="1"/>
    <col min="12" max="16384" width="9" style="159"/>
  </cols>
  <sheetData>
    <row r="1" spans="2:11" ht="27.6" customHeight="1" thickBot="1">
      <c r="C1" s="727" t="str">
        <f>"第"&amp;基本情報!C11&amp;"期"</f>
        <v>第期</v>
      </c>
      <c r="E1" s="160" t="s">
        <v>122</v>
      </c>
      <c r="H1" s="159" t="e">
        <f>LEFT(基本情報!C13,4) &amp; "年" &amp; MID(基本情報!C13,5,2) &amp; "月～" &amp; LEFT(基本情報!C18,4) &amp; "年" &amp; MID(基本情報!C18,5,2) &amp; "月"</f>
        <v>#VALUE!</v>
      </c>
      <c r="K1" s="161" t="s">
        <v>123</v>
      </c>
    </row>
    <row r="2" spans="2:11" ht="16.2" customHeight="1">
      <c r="H2" s="162" t="s">
        <v>124</v>
      </c>
      <c r="I2" s="163" t="s">
        <v>125</v>
      </c>
      <c r="J2" s="163" t="s">
        <v>126</v>
      </c>
      <c r="K2" s="164" t="s">
        <v>127</v>
      </c>
    </row>
    <row r="3" spans="2:11" ht="16.2" customHeight="1">
      <c r="B3" s="924">
        <f>基本情報!C4</f>
        <v>0</v>
      </c>
      <c r="C3" s="924"/>
      <c r="D3" s="924">
        <f>基本情報!C6</f>
        <v>0</v>
      </c>
      <c r="E3" s="924"/>
      <c r="F3" s="923" t="str">
        <f>基本情報!C8&amp;"・"&amp;基本情報!C7</f>
        <v>・</v>
      </c>
      <c r="G3" s="923"/>
      <c r="H3" s="469"/>
      <c r="I3" s="470"/>
      <c r="J3" s="470"/>
      <c r="K3" s="471"/>
    </row>
    <row r="4" spans="2:11" ht="16.2" customHeight="1">
      <c r="H4" s="472"/>
      <c r="I4" s="473"/>
      <c r="J4" s="473"/>
      <c r="K4" s="474"/>
    </row>
    <row r="5" spans="2:11" ht="16.2" customHeight="1" thickBot="1">
      <c r="B5" s="159" t="s">
        <v>128</v>
      </c>
      <c r="G5" s="165"/>
      <c r="H5" s="475"/>
      <c r="I5" s="476"/>
      <c r="J5" s="476"/>
      <c r="K5" s="477"/>
    </row>
    <row r="6" spans="2:11" ht="30" customHeight="1" thickBot="1">
      <c r="B6" s="166"/>
      <c r="C6" s="167"/>
      <c r="D6" s="167"/>
      <c r="E6" s="167"/>
      <c r="F6" s="925" t="s">
        <v>129</v>
      </c>
      <c r="G6" s="877"/>
      <c r="H6" s="877" t="s">
        <v>130</v>
      </c>
      <c r="I6" s="878"/>
      <c r="J6" s="873" t="s">
        <v>56</v>
      </c>
      <c r="K6" s="874"/>
    </row>
    <row r="7" spans="2:11" ht="30" customHeight="1">
      <c r="B7" s="168"/>
      <c r="C7" s="169"/>
      <c r="D7" s="169"/>
      <c r="E7" s="169"/>
      <c r="F7" s="170"/>
      <c r="G7" s="171"/>
      <c r="H7" s="172"/>
      <c r="I7" s="173"/>
      <c r="J7" s="174"/>
      <c r="K7" s="175"/>
    </row>
    <row r="8" spans="2:11" ht="30" customHeight="1">
      <c r="B8" s="176"/>
      <c r="C8" s="926" t="s">
        <v>138</v>
      </c>
      <c r="D8" s="926"/>
      <c r="E8" s="177"/>
      <c r="F8" s="921">
        <f>Ａ!E6</f>
        <v>0</v>
      </c>
      <c r="G8" s="922"/>
      <c r="H8" s="879">
        <f>F11</f>
        <v>0</v>
      </c>
      <c r="I8" s="880"/>
      <c r="J8" s="875">
        <f>F8</f>
        <v>0</v>
      </c>
      <c r="K8" s="876"/>
    </row>
    <row r="9" spans="2:11" ht="30" customHeight="1">
      <c r="B9" s="178"/>
      <c r="C9" s="915" t="s">
        <v>139</v>
      </c>
      <c r="D9" s="915"/>
      <c r="E9" s="179"/>
      <c r="F9" s="890">
        <f>Ａ!C13</f>
        <v>0</v>
      </c>
      <c r="G9" s="881"/>
      <c r="H9" s="881">
        <f>H10+H11-H8-H13-H14</f>
        <v>0</v>
      </c>
      <c r="I9" s="882"/>
      <c r="J9" s="847">
        <f t="shared" ref="J9:J14" si="0">F9+H9</f>
        <v>0</v>
      </c>
      <c r="K9" s="848"/>
    </row>
    <row r="10" spans="2:11" ht="30" customHeight="1">
      <c r="B10" s="178"/>
      <c r="C10" s="915" t="s">
        <v>54</v>
      </c>
      <c r="D10" s="915"/>
      <c r="E10" s="179"/>
      <c r="F10" s="890">
        <f>Ａ!D13</f>
        <v>0</v>
      </c>
      <c r="G10" s="881"/>
      <c r="H10" s="867"/>
      <c r="I10" s="868"/>
      <c r="J10" s="847">
        <f t="shared" si="0"/>
        <v>0</v>
      </c>
      <c r="K10" s="848"/>
    </row>
    <row r="11" spans="2:11" ht="30" customHeight="1">
      <c r="B11" s="180"/>
      <c r="C11" s="920" t="s">
        <v>55</v>
      </c>
      <c r="D11" s="920"/>
      <c r="E11" s="181"/>
      <c r="F11" s="908">
        <f>Ａ!E13</f>
        <v>0</v>
      </c>
      <c r="G11" s="909"/>
      <c r="H11" s="885"/>
      <c r="I11" s="886"/>
      <c r="J11" s="849">
        <f>H11</f>
        <v>0</v>
      </c>
      <c r="K11" s="850"/>
    </row>
    <row r="12" spans="2:11" ht="30" customHeight="1" thickBot="1">
      <c r="B12" s="182"/>
      <c r="C12" s="918" t="s">
        <v>137</v>
      </c>
      <c r="D12" s="918"/>
      <c r="E12" s="183"/>
      <c r="F12" s="910">
        <f>F13+F14</f>
        <v>0</v>
      </c>
      <c r="G12" s="883"/>
      <c r="H12" s="883">
        <f>H13+H14</f>
        <v>0</v>
      </c>
      <c r="I12" s="884"/>
      <c r="J12" s="853">
        <f t="shared" si="0"/>
        <v>0</v>
      </c>
      <c r="K12" s="854"/>
    </row>
    <row r="13" spans="2:11" ht="30" customHeight="1" thickTop="1">
      <c r="B13" s="168"/>
      <c r="C13" s="919" t="s">
        <v>57</v>
      </c>
      <c r="D13" s="919"/>
      <c r="E13" s="184"/>
      <c r="F13" s="906">
        <f>Ａ!G13</f>
        <v>0</v>
      </c>
      <c r="G13" s="907"/>
      <c r="H13" s="863"/>
      <c r="I13" s="864"/>
      <c r="J13" s="851">
        <f t="shared" si="0"/>
        <v>0</v>
      </c>
      <c r="K13" s="852"/>
    </row>
    <row r="14" spans="2:11" ht="30" customHeight="1" thickBot="1">
      <c r="B14" s="182"/>
      <c r="C14" s="918" t="s">
        <v>58</v>
      </c>
      <c r="D14" s="918"/>
      <c r="E14" s="183"/>
      <c r="F14" s="910">
        <f>Ａ!H13</f>
        <v>0</v>
      </c>
      <c r="G14" s="883"/>
      <c r="H14" s="865"/>
      <c r="I14" s="866"/>
      <c r="J14" s="853">
        <f t="shared" si="0"/>
        <v>0</v>
      </c>
      <c r="K14" s="854"/>
    </row>
    <row r="15" spans="2:11" ht="30" customHeight="1" thickTop="1">
      <c r="B15" s="185"/>
      <c r="C15" s="913" t="s">
        <v>131</v>
      </c>
      <c r="D15" s="913"/>
      <c r="E15" s="186"/>
      <c r="F15" s="911">
        <f>IF(F10=0,0,F14/F10)</f>
        <v>0</v>
      </c>
      <c r="G15" s="871"/>
      <c r="H15" s="871">
        <f>IF(H10=0,0,H14/H10)</f>
        <v>0</v>
      </c>
      <c r="I15" s="872"/>
      <c r="J15" s="869">
        <f>IF(J10=0,0,J14/J10)</f>
        <v>0</v>
      </c>
      <c r="K15" s="870"/>
    </row>
    <row r="16" spans="2:11" ht="30" customHeight="1">
      <c r="B16" s="178"/>
      <c r="C16" s="915" t="s">
        <v>132</v>
      </c>
      <c r="D16" s="915"/>
      <c r="E16" s="179"/>
      <c r="F16" s="890">
        <f>Ａ!C25</f>
        <v>0</v>
      </c>
      <c r="G16" s="881"/>
      <c r="H16" s="867"/>
      <c r="I16" s="868"/>
      <c r="J16" s="847">
        <f>F16+H16</f>
        <v>0</v>
      </c>
      <c r="K16" s="848"/>
    </row>
    <row r="17" spans="2:11" ht="30" customHeight="1">
      <c r="B17" s="178"/>
      <c r="C17" s="915" t="s">
        <v>140</v>
      </c>
      <c r="D17" s="915"/>
      <c r="E17" s="179"/>
      <c r="F17" s="890">
        <f>Ａ!D25</f>
        <v>0</v>
      </c>
      <c r="G17" s="881"/>
      <c r="H17" s="867"/>
      <c r="I17" s="868"/>
      <c r="J17" s="847">
        <f>F17+H17</f>
        <v>0</v>
      </c>
      <c r="K17" s="848"/>
    </row>
    <row r="18" spans="2:11" ht="30" customHeight="1">
      <c r="B18" s="178"/>
      <c r="C18" s="915" t="s">
        <v>133</v>
      </c>
      <c r="D18" s="915"/>
      <c r="E18" s="179"/>
      <c r="F18" s="890">
        <f>Ａ!E25</f>
        <v>0</v>
      </c>
      <c r="G18" s="881"/>
      <c r="H18" s="867"/>
      <c r="I18" s="868"/>
      <c r="J18" s="847">
        <f>F18+H18</f>
        <v>0</v>
      </c>
      <c r="K18" s="848"/>
    </row>
    <row r="19" spans="2:11" ht="30" customHeight="1">
      <c r="B19" s="187"/>
      <c r="C19" s="917" t="s">
        <v>59</v>
      </c>
      <c r="D19" s="917"/>
      <c r="E19" s="188"/>
      <c r="F19" s="902">
        <f>Ａ!F25</f>
        <v>0</v>
      </c>
      <c r="G19" s="903"/>
      <c r="H19" s="904"/>
      <c r="I19" s="905"/>
      <c r="J19" s="855">
        <f>F19+H19</f>
        <v>0</v>
      </c>
      <c r="K19" s="856"/>
    </row>
    <row r="20" spans="2:11" ht="30" customHeight="1" thickBot="1">
      <c r="B20" s="189"/>
      <c r="C20" s="916" t="s">
        <v>141</v>
      </c>
      <c r="D20" s="916"/>
      <c r="E20" s="190"/>
      <c r="F20" s="895">
        <f>F14-F16-F17-F18+F19</f>
        <v>0</v>
      </c>
      <c r="G20" s="896"/>
      <c r="H20" s="896">
        <f>H14-H16-H17-H18+H19</f>
        <v>0</v>
      </c>
      <c r="I20" s="899"/>
      <c r="J20" s="857">
        <f>J14-J16-J17-J18+J19</f>
        <v>0</v>
      </c>
      <c r="K20" s="858"/>
    </row>
    <row r="21" spans="2:11" ht="30" customHeight="1" thickTop="1">
      <c r="B21" s="185"/>
      <c r="C21" s="913" t="s">
        <v>69</v>
      </c>
      <c r="D21" s="913"/>
      <c r="E21" s="186"/>
      <c r="F21" s="897">
        <f>Ａ!H25</f>
        <v>0</v>
      </c>
      <c r="G21" s="898"/>
      <c r="H21" s="900"/>
      <c r="I21" s="901"/>
      <c r="J21" s="859">
        <f>F21+H21</f>
        <v>0</v>
      </c>
      <c r="K21" s="860"/>
    </row>
    <row r="22" spans="2:11" ht="30" customHeight="1" thickBot="1">
      <c r="B22" s="189"/>
      <c r="C22" s="916" t="s">
        <v>134</v>
      </c>
      <c r="D22" s="916"/>
      <c r="E22" s="190"/>
      <c r="F22" s="895">
        <f>F20-F21</f>
        <v>0</v>
      </c>
      <c r="G22" s="896"/>
      <c r="H22" s="896">
        <f>H20-H21</f>
        <v>0</v>
      </c>
      <c r="I22" s="899"/>
      <c r="J22" s="857">
        <f>J14+J19-J18-J16-J17-J21</f>
        <v>0</v>
      </c>
      <c r="K22" s="858"/>
    </row>
    <row r="23" spans="2:11" ht="30" customHeight="1" thickTop="1" thickBot="1">
      <c r="B23" s="674"/>
      <c r="C23" s="914" t="s">
        <v>135</v>
      </c>
      <c r="D23" s="914"/>
      <c r="E23" s="675"/>
      <c r="F23" s="891">
        <f>Ａ!J25</f>
        <v>0</v>
      </c>
      <c r="G23" s="892"/>
      <c r="H23" s="893"/>
      <c r="I23" s="894"/>
      <c r="J23" s="861">
        <f>F23+H23</f>
        <v>0</v>
      </c>
      <c r="K23" s="862"/>
    </row>
    <row r="24" spans="2:11" ht="30" customHeight="1" thickTop="1" thickBot="1">
      <c r="B24" s="191"/>
      <c r="C24" s="912" t="s">
        <v>136</v>
      </c>
      <c r="D24" s="912"/>
      <c r="E24" s="192"/>
      <c r="F24" s="889">
        <f>F22+F23</f>
        <v>0</v>
      </c>
      <c r="G24" s="887"/>
      <c r="H24" s="887">
        <f>H22+H23</f>
        <v>0</v>
      </c>
      <c r="I24" s="888"/>
      <c r="J24" s="845">
        <f>J22+J23</f>
        <v>0</v>
      </c>
      <c r="K24" s="846"/>
    </row>
  </sheetData>
  <sheetProtection algorithmName="SHA-512" hashValue="MLyZRuy3tGWHqqVJsFamHzl/3+rje7FxIvr4cD7AIGCoIJf3vZui/K+/u/5y/rBsSv9hTPGfLmxBauhpV+m7KQ==" saltValue="thuOEvoKVAjSR69oPkQQ5w==" spinCount="100000" sheet="1" objects="1" scenarios="1"/>
  <mergeCells count="74">
    <mergeCell ref="F8:G8"/>
    <mergeCell ref="F9:G9"/>
    <mergeCell ref="F10:G10"/>
    <mergeCell ref="F3:G3"/>
    <mergeCell ref="B3:C3"/>
    <mergeCell ref="F6:G6"/>
    <mergeCell ref="C8:D8"/>
    <mergeCell ref="D3:E3"/>
    <mergeCell ref="C9:D9"/>
    <mergeCell ref="C24:D24"/>
    <mergeCell ref="C21:D21"/>
    <mergeCell ref="C23:D23"/>
    <mergeCell ref="C10:D10"/>
    <mergeCell ref="C20:D20"/>
    <mergeCell ref="C22:D22"/>
    <mergeCell ref="C19:D19"/>
    <mergeCell ref="C18:D18"/>
    <mergeCell ref="C16:D16"/>
    <mergeCell ref="C17:D17"/>
    <mergeCell ref="C12:D12"/>
    <mergeCell ref="C13:D13"/>
    <mergeCell ref="C14:D14"/>
    <mergeCell ref="C15:D15"/>
    <mergeCell ref="C11:D11"/>
    <mergeCell ref="F13:G13"/>
    <mergeCell ref="F11:G11"/>
    <mergeCell ref="F12:G12"/>
    <mergeCell ref="F14:G14"/>
    <mergeCell ref="F15:G15"/>
    <mergeCell ref="H24:I24"/>
    <mergeCell ref="F24:G24"/>
    <mergeCell ref="F16:G16"/>
    <mergeCell ref="F17:G17"/>
    <mergeCell ref="F23:G23"/>
    <mergeCell ref="H23:I23"/>
    <mergeCell ref="F22:G22"/>
    <mergeCell ref="F21:G21"/>
    <mergeCell ref="H20:I20"/>
    <mergeCell ref="H22:I22"/>
    <mergeCell ref="H21:I21"/>
    <mergeCell ref="F20:G20"/>
    <mergeCell ref="F19:G19"/>
    <mergeCell ref="F18:G18"/>
    <mergeCell ref="H19:I19"/>
    <mergeCell ref="H18:I18"/>
    <mergeCell ref="J6:K6"/>
    <mergeCell ref="J12:K12"/>
    <mergeCell ref="J8:K8"/>
    <mergeCell ref="J9:K9"/>
    <mergeCell ref="H6:I6"/>
    <mergeCell ref="H8:I8"/>
    <mergeCell ref="H9:I9"/>
    <mergeCell ref="H10:I10"/>
    <mergeCell ref="H12:I12"/>
    <mergeCell ref="H11:I11"/>
    <mergeCell ref="H13:I13"/>
    <mergeCell ref="H14:I14"/>
    <mergeCell ref="H16:I16"/>
    <mergeCell ref="H17:I17"/>
    <mergeCell ref="J15:K15"/>
    <mergeCell ref="H15:I15"/>
    <mergeCell ref="J24:K24"/>
    <mergeCell ref="J10:K10"/>
    <mergeCell ref="J11:K11"/>
    <mergeCell ref="J13:K13"/>
    <mergeCell ref="J14:K14"/>
    <mergeCell ref="J19:K19"/>
    <mergeCell ref="J18:K18"/>
    <mergeCell ref="J16:K16"/>
    <mergeCell ref="J22:K22"/>
    <mergeCell ref="J21:K21"/>
    <mergeCell ref="J20:K20"/>
    <mergeCell ref="J17:K17"/>
    <mergeCell ref="J23:K23"/>
  </mergeCells>
  <phoneticPr fontId="3"/>
  <pageMargins left="0.78740157480314965" right="0.47244094488188981" top="0.98425196850393704" bottom="0.98425196850393704" header="0.51181102362204722" footer="0.51181102362204722"/>
  <pageSetup paperSize="9" scale="98" orientation="portrait" blackAndWhite="1" horizontalDpi="4294967293"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254C4-A9B5-4AD6-99C0-A83AA2FD65D8}">
  <sheetPr codeName="Sheet5">
    <pageSetUpPr fitToPage="1"/>
  </sheetPr>
  <dimension ref="B1:W37"/>
  <sheetViews>
    <sheetView showGridLines="0" zoomScaleNormal="100" workbookViewId="0"/>
  </sheetViews>
  <sheetFormatPr defaultRowHeight="18" customHeight="1"/>
  <cols>
    <col min="1" max="1" width="0.77734375" style="380" customWidth="1"/>
    <col min="2" max="2" width="0.6640625" style="380" customWidth="1"/>
    <col min="3" max="3" width="13.88671875" style="380" customWidth="1"/>
    <col min="4" max="4" width="0.88671875" style="380" customWidth="1"/>
    <col min="5" max="5" width="13.109375" style="380" customWidth="1"/>
    <col min="6" max="6" width="16.77734375" style="380" customWidth="1"/>
    <col min="7" max="7" width="14.6640625" style="380" customWidth="1"/>
    <col min="8" max="12" width="7.88671875" style="380" customWidth="1"/>
    <col min="13" max="15" width="9" style="380" hidden="1" customWidth="1"/>
    <col min="16" max="17" width="6.6640625" style="380" customWidth="1"/>
    <col min="18" max="23" width="8.6640625" style="380" customWidth="1"/>
    <col min="24" max="250" width="9" style="380"/>
    <col min="251" max="251" width="0.77734375" style="380" customWidth="1"/>
    <col min="252" max="252" width="0.6640625" style="380" customWidth="1"/>
    <col min="253" max="253" width="8.109375" style="380" customWidth="1"/>
    <col min="254" max="254" width="6.33203125" style="380" customWidth="1"/>
    <col min="255" max="255" width="0.88671875" style="380" customWidth="1"/>
    <col min="256" max="257" width="13.109375" style="380" customWidth="1"/>
    <col min="258" max="259" width="0" style="380" hidden="1" customWidth="1"/>
    <col min="260" max="260" width="14.6640625" style="380" customWidth="1"/>
    <col min="261" max="268" width="9" style="380"/>
    <col min="269" max="271" width="0" style="380" hidden="1" customWidth="1"/>
    <col min="272" max="273" width="6.6640625" style="380" customWidth="1"/>
    <col min="274" max="279" width="8.6640625" style="380" customWidth="1"/>
    <col min="280" max="506" width="9" style="380"/>
    <col min="507" max="507" width="0.77734375" style="380" customWidth="1"/>
    <col min="508" max="508" width="0.6640625" style="380" customWidth="1"/>
    <col min="509" max="509" width="8.109375" style="380" customWidth="1"/>
    <col min="510" max="510" width="6.33203125" style="380" customWidth="1"/>
    <col min="511" max="511" width="0.88671875" style="380" customWidth="1"/>
    <col min="512" max="513" width="13.109375" style="380" customWidth="1"/>
    <col min="514" max="515" width="0" style="380" hidden="1" customWidth="1"/>
    <col min="516" max="516" width="14.6640625" style="380" customWidth="1"/>
    <col min="517" max="524" width="9" style="380"/>
    <col min="525" max="527" width="0" style="380" hidden="1" customWidth="1"/>
    <col min="528" max="529" width="6.6640625" style="380" customWidth="1"/>
    <col min="530" max="535" width="8.6640625" style="380" customWidth="1"/>
    <col min="536" max="762" width="9" style="380"/>
    <col min="763" max="763" width="0.77734375" style="380" customWidth="1"/>
    <col min="764" max="764" width="0.6640625" style="380" customWidth="1"/>
    <col min="765" max="765" width="8.109375" style="380" customWidth="1"/>
    <col min="766" max="766" width="6.33203125" style="380" customWidth="1"/>
    <col min="767" max="767" width="0.88671875" style="380" customWidth="1"/>
    <col min="768" max="769" width="13.109375" style="380" customWidth="1"/>
    <col min="770" max="771" width="0" style="380" hidden="1" customWidth="1"/>
    <col min="772" max="772" width="14.6640625" style="380" customWidth="1"/>
    <col min="773" max="780" width="9" style="380"/>
    <col min="781" max="783" width="0" style="380" hidden="1" customWidth="1"/>
    <col min="784" max="785" width="6.6640625" style="380" customWidth="1"/>
    <col min="786" max="791" width="8.6640625" style="380" customWidth="1"/>
    <col min="792" max="1018" width="9" style="380"/>
    <col min="1019" max="1019" width="0.77734375" style="380" customWidth="1"/>
    <col min="1020" max="1020" width="0.6640625" style="380" customWidth="1"/>
    <col min="1021" max="1021" width="8.109375" style="380" customWidth="1"/>
    <col min="1022" max="1022" width="6.33203125" style="380" customWidth="1"/>
    <col min="1023" max="1023" width="0.88671875" style="380" customWidth="1"/>
    <col min="1024" max="1025" width="13.109375" style="380" customWidth="1"/>
    <col min="1026" max="1027" width="0" style="380" hidden="1" customWidth="1"/>
    <col min="1028" max="1028" width="14.6640625" style="380" customWidth="1"/>
    <col min="1029" max="1036" width="9" style="380"/>
    <col min="1037" max="1039" width="0" style="380" hidden="1" customWidth="1"/>
    <col min="1040" max="1041" width="6.6640625" style="380" customWidth="1"/>
    <col min="1042" max="1047" width="8.6640625" style="380" customWidth="1"/>
    <col min="1048" max="1274" width="9" style="380"/>
    <col min="1275" max="1275" width="0.77734375" style="380" customWidth="1"/>
    <col min="1276" max="1276" width="0.6640625" style="380" customWidth="1"/>
    <col min="1277" max="1277" width="8.109375" style="380" customWidth="1"/>
    <col min="1278" max="1278" width="6.33203125" style="380" customWidth="1"/>
    <col min="1279" max="1279" width="0.88671875" style="380" customWidth="1"/>
    <col min="1280" max="1281" width="13.109375" style="380" customWidth="1"/>
    <col min="1282" max="1283" width="0" style="380" hidden="1" customWidth="1"/>
    <col min="1284" max="1284" width="14.6640625" style="380" customWidth="1"/>
    <col min="1285" max="1292" width="9" style="380"/>
    <col min="1293" max="1295" width="0" style="380" hidden="1" customWidth="1"/>
    <col min="1296" max="1297" width="6.6640625" style="380" customWidth="1"/>
    <col min="1298" max="1303" width="8.6640625" style="380" customWidth="1"/>
    <col min="1304" max="1530" width="9" style="380"/>
    <col min="1531" max="1531" width="0.77734375" style="380" customWidth="1"/>
    <col min="1532" max="1532" width="0.6640625" style="380" customWidth="1"/>
    <col min="1533" max="1533" width="8.109375" style="380" customWidth="1"/>
    <col min="1534" max="1534" width="6.33203125" style="380" customWidth="1"/>
    <col min="1535" max="1535" width="0.88671875" style="380" customWidth="1"/>
    <col min="1536" max="1537" width="13.109375" style="380" customWidth="1"/>
    <col min="1538" max="1539" width="0" style="380" hidden="1" customWidth="1"/>
    <col min="1540" max="1540" width="14.6640625" style="380" customWidth="1"/>
    <col min="1541" max="1548" width="9" style="380"/>
    <col min="1549" max="1551" width="0" style="380" hidden="1" customWidth="1"/>
    <col min="1552" max="1553" width="6.6640625" style="380" customWidth="1"/>
    <col min="1554" max="1559" width="8.6640625" style="380" customWidth="1"/>
    <col min="1560" max="1786" width="9" style="380"/>
    <col min="1787" max="1787" width="0.77734375" style="380" customWidth="1"/>
    <col min="1788" max="1788" width="0.6640625" style="380" customWidth="1"/>
    <col min="1789" max="1789" width="8.109375" style="380" customWidth="1"/>
    <col min="1790" max="1790" width="6.33203125" style="380" customWidth="1"/>
    <col min="1791" max="1791" width="0.88671875" style="380" customWidth="1"/>
    <col min="1792" max="1793" width="13.109375" style="380" customWidth="1"/>
    <col min="1794" max="1795" width="0" style="380" hidden="1" customWidth="1"/>
    <col min="1796" max="1796" width="14.6640625" style="380" customWidth="1"/>
    <col min="1797" max="1804" width="9" style="380"/>
    <col min="1805" max="1807" width="0" style="380" hidden="1" customWidth="1"/>
    <col min="1808" max="1809" width="6.6640625" style="380" customWidth="1"/>
    <col min="1810" max="1815" width="8.6640625" style="380" customWidth="1"/>
    <col min="1816" max="2042" width="9" style="380"/>
    <col min="2043" max="2043" width="0.77734375" style="380" customWidth="1"/>
    <col min="2044" max="2044" width="0.6640625" style="380" customWidth="1"/>
    <col min="2045" max="2045" width="8.109375" style="380" customWidth="1"/>
    <col min="2046" max="2046" width="6.33203125" style="380" customWidth="1"/>
    <col min="2047" max="2047" width="0.88671875" style="380" customWidth="1"/>
    <col min="2048" max="2049" width="13.109375" style="380" customWidth="1"/>
    <col min="2050" max="2051" width="0" style="380" hidden="1" customWidth="1"/>
    <col min="2052" max="2052" width="14.6640625" style="380" customWidth="1"/>
    <col min="2053" max="2060" width="9" style="380"/>
    <col min="2061" max="2063" width="0" style="380" hidden="1" customWidth="1"/>
    <col min="2064" max="2065" width="6.6640625" style="380" customWidth="1"/>
    <col min="2066" max="2071" width="8.6640625" style="380" customWidth="1"/>
    <col min="2072" max="2298" width="9" style="380"/>
    <col min="2299" max="2299" width="0.77734375" style="380" customWidth="1"/>
    <col min="2300" max="2300" width="0.6640625" style="380" customWidth="1"/>
    <col min="2301" max="2301" width="8.109375" style="380" customWidth="1"/>
    <col min="2302" max="2302" width="6.33203125" style="380" customWidth="1"/>
    <col min="2303" max="2303" width="0.88671875" style="380" customWidth="1"/>
    <col min="2304" max="2305" width="13.109375" style="380" customWidth="1"/>
    <col min="2306" max="2307" width="0" style="380" hidden="1" customWidth="1"/>
    <col min="2308" max="2308" width="14.6640625" style="380" customWidth="1"/>
    <col min="2309" max="2316" width="9" style="380"/>
    <col min="2317" max="2319" width="0" style="380" hidden="1" customWidth="1"/>
    <col min="2320" max="2321" width="6.6640625" style="380" customWidth="1"/>
    <col min="2322" max="2327" width="8.6640625" style="380" customWidth="1"/>
    <col min="2328" max="2554" width="9" style="380"/>
    <col min="2555" max="2555" width="0.77734375" style="380" customWidth="1"/>
    <col min="2556" max="2556" width="0.6640625" style="380" customWidth="1"/>
    <col min="2557" max="2557" width="8.109375" style="380" customWidth="1"/>
    <col min="2558" max="2558" width="6.33203125" style="380" customWidth="1"/>
    <col min="2559" max="2559" width="0.88671875" style="380" customWidth="1"/>
    <col min="2560" max="2561" width="13.109375" style="380" customWidth="1"/>
    <col min="2562" max="2563" width="0" style="380" hidden="1" customWidth="1"/>
    <col min="2564" max="2564" width="14.6640625" style="380" customWidth="1"/>
    <col min="2565" max="2572" width="9" style="380"/>
    <col min="2573" max="2575" width="0" style="380" hidden="1" customWidth="1"/>
    <col min="2576" max="2577" width="6.6640625" style="380" customWidth="1"/>
    <col min="2578" max="2583" width="8.6640625" style="380" customWidth="1"/>
    <col min="2584" max="2810" width="9" style="380"/>
    <col min="2811" max="2811" width="0.77734375" style="380" customWidth="1"/>
    <col min="2812" max="2812" width="0.6640625" style="380" customWidth="1"/>
    <col min="2813" max="2813" width="8.109375" style="380" customWidth="1"/>
    <col min="2814" max="2814" width="6.33203125" style="380" customWidth="1"/>
    <col min="2815" max="2815" width="0.88671875" style="380" customWidth="1"/>
    <col min="2816" max="2817" width="13.109375" style="380" customWidth="1"/>
    <col min="2818" max="2819" width="0" style="380" hidden="1" customWidth="1"/>
    <col min="2820" max="2820" width="14.6640625" style="380" customWidth="1"/>
    <col min="2821" max="2828" width="9" style="380"/>
    <col min="2829" max="2831" width="0" style="380" hidden="1" customWidth="1"/>
    <col min="2832" max="2833" width="6.6640625" style="380" customWidth="1"/>
    <col min="2834" max="2839" width="8.6640625" style="380" customWidth="1"/>
    <col min="2840" max="3066" width="9" style="380"/>
    <col min="3067" max="3067" width="0.77734375" style="380" customWidth="1"/>
    <col min="3068" max="3068" width="0.6640625" style="380" customWidth="1"/>
    <col min="3069" max="3069" width="8.109375" style="380" customWidth="1"/>
    <col min="3070" max="3070" width="6.33203125" style="380" customWidth="1"/>
    <col min="3071" max="3071" width="0.88671875" style="380" customWidth="1"/>
    <col min="3072" max="3073" width="13.109375" style="380" customWidth="1"/>
    <col min="3074" max="3075" width="0" style="380" hidden="1" customWidth="1"/>
    <col min="3076" max="3076" width="14.6640625" style="380" customWidth="1"/>
    <col min="3077" max="3084" width="9" style="380"/>
    <col min="3085" max="3087" width="0" style="380" hidden="1" customWidth="1"/>
    <col min="3088" max="3089" width="6.6640625" style="380" customWidth="1"/>
    <col min="3090" max="3095" width="8.6640625" style="380" customWidth="1"/>
    <col min="3096" max="3322" width="9" style="380"/>
    <col min="3323" max="3323" width="0.77734375" style="380" customWidth="1"/>
    <col min="3324" max="3324" width="0.6640625" style="380" customWidth="1"/>
    <col min="3325" max="3325" width="8.109375" style="380" customWidth="1"/>
    <col min="3326" max="3326" width="6.33203125" style="380" customWidth="1"/>
    <col min="3327" max="3327" width="0.88671875" style="380" customWidth="1"/>
    <col min="3328" max="3329" width="13.109375" style="380" customWidth="1"/>
    <col min="3330" max="3331" width="0" style="380" hidden="1" customWidth="1"/>
    <col min="3332" max="3332" width="14.6640625" style="380" customWidth="1"/>
    <col min="3333" max="3340" width="9" style="380"/>
    <col min="3341" max="3343" width="0" style="380" hidden="1" customWidth="1"/>
    <col min="3344" max="3345" width="6.6640625" style="380" customWidth="1"/>
    <col min="3346" max="3351" width="8.6640625" style="380" customWidth="1"/>
    <col min="3352" max="3578" width="9" style="380"/>
    <col min="3579" max="3579" width="0.77734375" style="380" customWidth="1"/>
    <col min="3580" max="3580" width="0.6640625" style="380" customWidth="1"/>
    <col min="3581" max="3581" width="8.109375" style="380" customWidth="1"/>
    <col min="3582" max="3582" width="6.33203125" style="380" customWidth="1"/>
    <col min="3583" max="3583" width="0.88671875" style="380" customWidth="1"/>
    <col min="3584" max="3585" width="13.109375" style="380" customWidth="1"/>
    <col min="3586" max="3587" width="0" style="380" hidden="1" customWidth="1"/>
    <col min="3588" max="3588" width="14.6640625" style="380" customWidth="1"/>
    <col min="3589" max="3596" width="9" style="380"/>
    <col min="3597" max="3599" width="0" style="380" hidden="1" customWidth="1"/>
    <col min="3600" max="3601" width="6.6640625" style="380" customWidth="1"/>
    <col min="3602" max="3607" width="8.6640625" style="380" customWidth="1"/>
    <col min="3608" max="3834" width="9" style="380"/>
    <col min="3835" max="3835" width="0.77734375" style="380" customWidth="1"/>
    <col min="3836" max="3836" width="0.6640625" style="380" customWidth="1"/>
    <col min="3837" max="3837" width="8.109375" style="380" customWidth="1"/>
    <col min="3838" max="3838" width="6.33203125" style="380" customWidth="1"/>
    <col min="3839" max="3839" width="0.88671875" style="380" customWidth="1"/>
    <col min="3840" max="3841" width="13.109375" style="380" customWidth="1"/>
    <col min="3842" max="3843" width="0" style="380" hidden="1" customWidth="1"/>
    <col min="3844" max="3844" width="14.6640625" style="380" customWidth="1"/>
    <col min="3845" max="3852" width="9" style="380"/>
    <col min="3853" max="3855" width="0" style="380" hidden="1" customWidth="1"/>
    <col min="3856" max="3857" width="6.6640625" style="380" customWidth="1"/>
    <col min="3858" max="3863" width="8.6640625" style="380" customWidth="1"/>
    <col min="3864" max="4090" width="9" style="380"/>
    <col min="4091" max="4091" width="0.77734375" style="380" customWidth="1"/>
    <col min="4092" max="4092" width="0.6640625" style="380" customWidth="1"/>
    <col min="4093" max="4093" width="8.109375" style="380" customWidth="1"/>
    <col min="4094" max="4094" width="6.33203125" style="380" customWidth="1"/>
    <col min="4095" max="4095" width="0.88671875" style="380" customWidth="1"/>
    <col min="4096" max="4097" width="13.109375" style="380" customWidth="1"/>
    <col min="4098" max="4099" width="0" style="380" hidden="1" customWidth="1"/>
    <col min="4100" max="4100" width="14.6640625" style="380" customWidth="1"/>
    <col min="4101" max="4108" width="9" style="380"/>
    <col min="4109" max="4111" width="0" style="380" hidden="1" customWidth="1"/>
    <col min="4112" max="4113" width="6.6640625" style="380" customWidth="1"/>
    <col min="4114" max="4119" width="8.6640625" style="380" customWidth="1"/>
    <col min="4120" max="4346" width="9" style="380"/>
    <col min="4347" max="4347" width="0.77734375" style="380" customWidth="1"/>
    <col min="4348" max="4348" width="0.6640625" style="380" customWidth="1"/>
    <col min="4349" max="4349" width="8.109375" style="380" customWidth="1"/>
    <col min="4350" max="4350" width="6.33203125" style="380" customWidth="1"/>
    <col min="4351" max="4351" width="0.88671875" style="380" customWidth="1"/>
    <col min="4352" max="4353" width="13.109375" style="380" customWidth="1"/>
    <col min="4354" max="4355" width="0" style="380" hidden="1" customWidth="1"/>
    <col min="4356" max="4356" width="14.6640625" style="380" customWidth="1"/>
    <col min="4357" max="4364" width="9" style="380"/>
    <col min="4365" max="4367" width="0" style="380" hidden="1" customWidth="1"/>
    <col min="4368" max="4369" width="6.6640625" style="380" customWidth="1"/>
    <col min="4370" max="4375" width="8.6640625" style="380" customWidth="1"/>
    <col min="4376" max="4602" width="9" style="380"/>
    <col min="4603" max="4603" width="0.77734375" style="380" customWidth="1"/>
    <col min="4604" max="4604" width="0.6640625" style="380" customWidth="1"/>
    <col min="4605" max="4605" width="8.109375" style="380" customWidth="1"/>
    <col min="4606" max="4606" width="6.33203125" style="380" customWidth="1"/>
    <col min="4607" max="4607" width="0.88671875" style="380" customWidth="1"/>
    <col min="4608" max="4609" width="13.109375" style="380" customWidth="1"/>
    <col min="4610" max="4611" width="0" style="380" hidden="1" customWidth="1"/>
    <col min="4612" max="4612" width="14.6640625" style="380" customWidth="1"/>
    <col min="4613" max="4620" width="9" style="380"/>
    <col min="4621" max="4623" width="0" style="380" hidden="1" customWidth="1"/>
    <col min="4624" max="4625" width="6.6640625" style="380" customWidth="1"/>
    <col min="4626" max="4631" width="8.6640625" style="380" customWidth="1"/>
    <col min="4632" max="4858" width="9" style="380"/>
    <col min="4859" max="4859" width="0.77734375" style="380" customWidth="1"/>
    <col min="4860" max="4860" width="0.6640625" style="380" customWidth="1"/>
    <col min="4861" max="4861" width="8.109375" style="380" customWidth="1"/>
    <col min="4862" max="4862" width="6.33203125" style="380" customWidth="1"/>
    <col min="4863" max="4863" width="0.88671875" style="380" customWidth="1"/>
    <col min="4864" max="4865" width="13.109375" style="380" customWidth="1"/>
    <col min="4866" max="4867" width="0" style="380" hidden="1" customWidth="1"/>
    <col min="4868" max="4868" width="14.6640625" style="380" customWidth="1"/>
    <col min="4869" max="4876" width="9" style="380"/>
    <col min="4877" max="4879" width="0" style="380" hidden="1" customWidth="1"/>
    <col min="4880" max="4881" width="6.6640625" style="380" customWidth="1"/>
    <col min="4882" max="4887" width="8.6640625" style="380" customWidth="1"/>
    <col min="4888" max="5114" width="9" style="380"/>
    <col min="5115" max="5115" width="0.77734375" style="380" customWidth="1"/>
    <col min="5116" max="5116" width="0.6640625" style="380" customWidth="1"/>
    <col min="5117" max="5117" width="8.109375" style="380" customWidth="1"/>
    <col min="5118" max="5118" width="6.33203125" style="380" customWidth="1"/>
    <col min="5119" max="5119" width="0.88671875" style="380" customWidth="1"/>
    <col min="5120" max="5121" width="13.109375" style="380" customWidth="1"/>
    <col min="5122" max="5123" width="0" style="380" hidden="1" customWidth="1"/>
    <col min="5124" max="5124" width="14.6640625" style="380" customWidth="1"/>
    <col min="5125" max="5132" width="9" style="380"/>
    <col min="5133" max="5135" width="0" style="380" hidden="1" customWidth="1"/>
    <col min="5136" max="5137" width="6.6640625" style="380" customWidth="1"/>
    <col min="5138" max="5143" width="8.6640625" style="380" customWidth="1"/>
    <col min="5144" max="5370" width="9" style="380"/>
    <col min="5371" max="5371" width="0.77734375" style="380" customWidth="1"/>
    <col min="5372" max="5372" width="0.6640625" style="380" customWidth="1"/>
    <col min="5373" max="5373" width="8.109375" style="380" customWidth="1"/>
    <col min="5374" max="5374" width="6.33203125" style="380" customWidth="1"/>
    <col min="5375" max="5375" width="0.88671875" style="380" customWidth="1"/>
    <col min="5376" max="5377" width="13.109375" style="380" customWidth="1"/>
    <col min="5378" max="5379" width="0" style="380" hidden="1" customWidth="1"/>
    <col min="5380" max="5380" width="14.6640625" style="380" customWidth="1"/>
    <col min="5381" max="5388" width="9" style="380"/>
    <col min="5389" max="5391" width="0" style="380" hidden="1" customWidth="1"/>
    <col min="5392" max="5393" width="6.6640625" style="380" customWidth="1"/>
    <col min="5394" max="5399" width="8.6640625" style="380" customWidth="1"/>
    <col min="5400" max="5626" width="9" style="380"/>
    <col min="5627" max="5627" width="0.77734375" style="380" customWidth="1"/>
    <col min="5628" max="5628" width="0.6640625" style="380" customWidth="1"/>
    <col min="5629" max="5629" width="8.109375" style="380" customWidth="1"/>
    <col min="5630" max="5630" width="6.33203125" style="380" customWidth="1"/>
    <col min="5631" max="5631" width="0.88671875" style="380" customWidth="1"/>
    <col min="5632" max="5633" width="13.109375" style="380" customWidth="1"/>
    <col min="5634" max="5635" width="0" style="380" hidden="1" customWidth="1"/>
    <col min="5636" max="5636" width="14.6640625" style="380" customWidth="1"/>
    <col min="5637" max="5644" width="9" style="380"/>
    <col min="5645" max="5647" width="0" style="380" hidden="1" customWidth="1"/>
    <col min="5648" max="5649" width="6.6640625" style="380" customWidth="1"/>
    <col min="5650" max="5655" width="8.6640625" style="380" customWidth="1"/>
    <col min="5656" max="5882" width="9" style="380"/>
    <col min="5883" max="5883" width="0.77734375" style="380" customWidth="1"/>
    <col min="5884" max="5884" width="0.6640625" style="380" customWidth="1"/>
    <col min="5885" max="5885" width="8.109375" style="380" customWidth="1"/>
    <col min="5886" max="5886" width="6.33203125" style="380" customWidth="1"/>
    <col min="5887" max="5887" width="0.88671875" style="380" customWidth="1"/>
    <col min="5888" max="5889" width="13.109375" style="380" customWidth="1"/>
    <col min="5890" max="5891" width="0" style="380" hidden="1" customWidth="1"/>
    <col min="5892" max="5892" width="14.6640625" style="380" customWidth="1"/>
    <col min="5893" max="5900" width="9" style="380"/>
    <col min="5901" max="5903" width="0" style="380" hidden="1" customWidth="1"/>
    <col min="5904" max="5905" width="6.6640625" style="380" customWidth="1"/>
    <col min="5906" max="5911" width="8.6640625" style="380" customWidth="1"/>
    <col min="5912" max="6138" width="9" style="380"/>
    <col min="6139" max="6139" width="0.77734375" style="380" customWidth="1"/>
    <col min="6140" max="6140" width="0.6640625" style="380" customWidth="1"/>
    <col min="6141" max="6141" width="8.109375" style="380" customWidth="1"/>
    <col min="6142" max="6142" width="6.33203125" style="380" customWidth="1"/>
    <col min="6143" max="6143" width="0.88671875" style="380" customWidth="1"/>
    <col min="6144" max="6145" width="13.109375" style="380" customWidth="1"/>
    <col min="6146" max="6147" width="0" style="380" hidden="1" customWidth="1"/>
    <col min="6148" max="6148" width="14.6640625" style="380" customWidth="1"/>
    <col min="6149" max="6156" width="9" style="380"/>
    <col min="6157" max="6159" width="0" style="380" hidden="1" customWidth="1"/>
    <col min="6160" max="6161" width="6.6640625" style="380" customWidth="1"/>
    <col min="6162" max="6167" width="8.6640625" style="380" customWidth="1"/>
    <col min="6168" max="6394" width="9" style="380"/>
    <col min="6395" max="6395" width="0.77734375" style="380" customWidth="1"/>
    <col min="6396" max="6396" width="0.6640625" style="380" customWidth="1"/>
    <col min="6397" max="6397" width="8.109375" style="380" customWidth="1"/>
    <col min="6398" max="6398" width="6.33203125" style="380" customWidth="1"/>
    <col min="6399" max="6399" width="0.88671875" style="380" customWidth="1"/>
    <col min="6400" max="6401" width="13.109375" style="380" customWidth="1"/>
    <col min="6402" max="6403" width="0" style="380" hidden="1" customWidth="1"/>
    <col min="6404" max="6404" width="14.6640625" style="380" customWidth="1"/>
    <col min="6405" max="6412" width="9" style="380"/>
    <col min="6413" max="6415" width="0" style="380" hidden="1" customWidth="1"/>
    <col min="6416" max="6417" width="6.6640625" style="380" customWidth="1"/>
    <col min="6418" max="6423" width="8.6640625" style="380" customWidth="1"/>
    <col min="6424" max="6650" width="9" style="380"/>
    <col min="6651" max="6651" width="0.77734375" style="380" customWidth="1"/>
    <col min="6652" max="6652" width="0.6640625" style="380" customWidth="1"/>
    <col min="6653" max="6653" width="8.109375" style="380" customWidth="1"/>
    <col min="6654" max="6654" width="6.33203125" style="380" customWidth="1"/>
    <col min="6655" max="6655" width="0.88671875" style="380" customWidth="1"/>
    <col min="6656" max="6657" width="13.109375" style="380" customWidth="1"/>
    <col min="6658" max="6659" width="0" style="380" hidden="1" customWidth="1"/>
    <col min="6660" max="6660" width="14.6640625" style="380" customWidth="1"/>
    <col min="6661" max="6668" width="9" style="380"/>
    <col min="6669" max="6671" width="0" style="380" hidden="1" customWidth="1"/>
    <col min="6672" max="6673" width="6.6640625" style="380" customWidth="1"/>
    <col min="6674" max="6679" width="8.6640625" style="380" customWidth="1"/>
    <col min="6680" max="6906" width="9" style="380"/>
    <col min="6907" max="6907" width="0.77734375" style="380" customWidth="1"/>
    <col min="6908" max="6908" width="0.6640625" style="380" customWidth="1"/>
    <col min="6909" max="6909" width="8.109375" style="380" customWidth="1"/>
    <col min="6910" max="6910" width="6.33203125" style="380" customWidth="1"/>
    <col min="6911" max="6911" width="0.88671875" style="380" customWidth="1"/>
    <col min="6912" max="6913" width="13.109375" style="380" customWidth="1"/>
    <col min="6914" max="6915" width="0" style="380" hidden="1" customWidth="1"/>
    <col min="6916" max="6916" width="14.6640625" style="380" customWidth="1"/>
    <col min="6917" max="6924" width="9" style="380"/>
    <col min="6925" max="6927" width="0" style="380" hidden="1" customWidth="1"/>
    <col min="6928" max="6929" width="6.6640625" style="380" customWidth="1"/>
    <col min="6930" max="6935" width="8.6640625" style="380" customWidth="1"/>
    <col min="6936" max="7162" width="9" style="380"/>
    <col min="7163" max="7163" width="0.77734375" style="380" customWidth="1"/>
    <col min="7164" max="7164" width="0.6640625" style="380" customWidth="1"/>
    <col min="7165" max="7165" width="8.109375" style="380" customWidth="1"/>
    <col min="7166" max="7166" width="6.33203125" style="380" customWidth="1"/>
    <col min="7167" max="7167" width="0.88671875" style="380" customWidth="1"/>
    <col min="7168" max="7169" width="13.109375" style="380" customWidth="1"/>
    <col min="7170" max="7171" width="0" style="380" hidden="1" customWidth="1"/>
    <col min="7172" max="7172" width="14.6640625" style="380" customWidth="1"/>
    <col min="7173" max="7180" width="9" style="380"/>
    <col min="7181" max="7183" width="0" style="380" hidden="1" customWidth="1"/>
    <col min="7184" max="7185" width="6.6640625" style="380" customWidth="1"/>
    <col min="7186" max="7191" width="8.6640625" style="380" customWidth="1"/>
    <col min="7192" max="7418" width="9" style="380"/>
    <col min="7419" max="7419" width="0.77734375" style="380" customWidth="1"/>
    <col min="7420" max="7420" width="0.6640625" style="380" customWidth="1"/>
    <col min="7421" max="7421" width="8.109375" style="380" customWidth="1"/>
    <col min="7422" max="7422" width="6.33203125" style="380" customWidth="1"/>
    <col min="7423" max="7423" width="0.88671875" style="380" customWidth="1"/>
    <col min="7424" max="7425" width="13.109375" style="380" customWidth="1"/>
    <col min="7426" max="7427" width="0" style="380" hidden="1" customWidth="1"/>
    <col min="7428" max="7428" width="14.6640625" style="380" customWidth="1"/>
    <col min="7429" max="7436" width="9" style="380"/>
    <col min="7437" max="7439" width="0" style="380" hidden="1" customWidth="1"/>
    <col min="7440" max="7441" width="6.6640625" style="380" customWidth="1"/>
    <col min="7442" max="7447" width="8.6640625" style="380" customWidth="1"/>
    <col min="7448" max="7674" width="9" style="380"/>
    <col min="7675" max="7675" width="0.77734375" style="380" customWidth="1"/>
    <col min="7676" max="7676" width="0.6640625" style="380" customWidth="1"/>
    <col min="7677" max="7677" width="8.109375" style="380" customWidth="1"/>
    <col min="7678" max="7678" width="6.33203125" style="380" customWidth="1"/>
    <col min="7679" max="7679" width="0.88671875" style="380" customWidth="1"/>
    <col min="7680" max="7681" width="13.109375" style="380" customWidth="1"/>
    <col min="7682" max="7683" width="0" style="380" hidden="1" customWidth="1"/>
    <col min="7684" max="7684" width="14.6640625" style="380" customWidth="1"/>
    <col min="7685" max="7692" width="9" style="380"/>
    <col min="7693" max="7695" width="0" style="380" hidden="1" customWidth="1"/>
    <col min="7696" max="7697" width="6.6640625" style="380" customWidth="1"/>
    <col min="7698" max="7703" width="8.6640625" style="380" customWidth="1"/>
    <col min="7704" max="7930" width="9" style="380"/>
    <col min="7931" max="7931" width="0.77734375" style="380" customWidth="1"/>
    <col min="7932" max="7932" width="0.6640625" style="380" customWidth="1"/>
    <col min="7933" max="7933" width="8.109375" style="380" customWidth="1"/>
    <col min="7934" max="7934" width="6.33203125" style="380" customWidth="1"/>
    <col min="7935" max="7935" width="0.88671875" style="380" customWidth="1"/>
    <col min="7936" max="7937" width="13.109375" style="380" customWidth="1"/>
    <col min="7938" max="7939" width="0" style="380" hidden="1" customWidth="1"/>
    <col min="7940" max="7940" width="14.6640625" style="380" customWidth="1"/>
    <col min="7941" max="7948" width="9" style="380"/>
    <col min="7949" max="7951" width="0" style="380" hidden="1" customWidth="1"/>
    <col min="7952" max="7953" width="6.6640625" style="380" customWidth="1"/>
    <col min="7954" max="7959" width="8.6640625" style="380" customWidth="1"/>
    <col min="7960" max="8186" width="9" style="380"/>
    <col min="8187" max="8187" width="0.77734375" style="380" customWidth="1"/>
    <col min="8188" max="8188" width="0.6640625" style="380" customWidth="1"/>
    <col min="8189" max="8189" width="8.109375" style="380" customWidth="1"/>
    <col min="8190" max="8190" width="6.33203125" style="380" customWidth="1"/>
    <col min="8191" max="8191" width="0.88671875" style="380" customWidth="1"/>
    <col min="8192" max="8193" width="13.109375" style="380" customWidth="1"/>
    <col min="8194" max="8195" width="0" style="380" hidden="1" customWidth="1"/>
    <col min="8196" max="8196" width="14.6640625" style="380" customWidth="1"/>
    <col min="8197" max="8204" width="9" style="380"/>
    <col min="8205" max="8207" width="0" style="380" hidden="1" customWidth="1"/>
    <col min="8208" max="8209" width="6.6640625" style="380" customWidth="1"/>
    <col min="8210" max="8215" width="8.6640625" style="380" customWidth="1"/>
    <col min="8216" max="8442" width="9" style="380"/>
    <col min="8443" max="8443" width="0.77734375" style="380" customWidth="1"/>
    <col min="8444" max="8444" width="0.6640625" style="380" customWidth="1"/>
    <col min="8445" max="8445" width="8.109375" style="380" customWidth="1"/>
    <col min="8446" max="8446" width="6.33203125" style="380" customWidth="1"/>
    <col min="8447" max="8447" width="0.88671875" style="380" customWidth="1"/>
    <col min="8448" max="8449" width="13.109375" style="380" customWidth="1"/>
    <col min="8450" max="8451" width="0" style="380" hidden="1" customWidth="1"/>
    <col min="8452" max="8452" width="14.6640625" style="380" customWidth="1"/>
    <col min="8453" max="8460" width="9" style="380"/>
    <col min="8461" max="8463" width="0" style="380" hidden="1" customWidth="1"/>
    <col min="8464" max="8465" width="6.6640625" style="380" customWidth="1"/>
    <col min="8466" max="8471" width="8.6640625" style="380" customWidth="1"/>
    <col min="8472" max="8698" width="9" style="380"/>
    <col min="8699" max="8699" width="0.77734375" style="380" customWidth="1"/>
    <col min="8700" max="8700" width="0.6640625" style="380" customWidth="1"/>
    <col min="8701" max="8701" width="8.109375" style="380" customWidth="1"/>
    <col min="8702" max="8702" width="6.33203125" style="380" customWidth="1"/>
    <col min="8703" max="8703" width="0.88671875" style="380" customWidth="1"/>
    <col min="8704" max="8705" width="13.109375" style="380" customWidth="1"/>
    <col min="8706" max="8707" width="0" style="380" hidden="1" customWidth="1"/>
    <col min="8708" max="8708" width="14.6640625" style="380" customWidth="1"/>
    <col min="8709" max="8716" width="9" style="380"/>
    <col min="8717" max="8719" width="0" style="380" hidden="1" customWidth="1"/>
    <col min="8720" max="8721" width="6.6640625" style="380" customWidth="1"/>
    <col min="8722" max="8727" width="8.6640625" style="380" customWidth="1"/>
    <col min="8728" max="8954" width="9" style="380"/>
    <col min="8955" max="8955" width="0.77734375" style="380" customWidth="1"/>
    <col min="8956" max="8956" width="0.6640625" style="380" customWidth="1"/>
    <col min="8957" max="8957" width="8.109375" style="380" customWidth="1"/>
    <col min="8958" max="8958" width="6.33203125" style="380" customWidth="1"/>
    <col min="8959" max="8959" width="0.88671875" style="380" customWidth="1"/>
    <col min="8960" max="8961" width="13.109375" style="380" customWidth="1"/>
    <col min="8962" max="8963" width="0" style="380" hidden="1" customWidth="1"/>
    <col min="8964" max="8964" width="14.6640625" style="380" customWidth="1"/>
    <col min="8965" max="8972" width="9" style="380"/>
    <col min="8973" max="8975" width="0" style="380" hidden="1" customWidth="1"/>
    <col min="8976" max="8977" width="6.6640625" style="380" customWidth="1"/>
    <col min="8978" max="8983" width="8.6640625" style="380" customWidth="1"/>
    <col min="8984" max="9210" width="9" style="380"/>
    <col min="9211" max="9211" width="0.77734375" style="380" customWidth="1"/>
    <col min="9212" max="9212" width="0.6640625" style="380" customWidth="1"/>
    <col min="9213" max="9213" width="8.109375" style="380" customWidth="1"/>
    <col min="9214" max="9214" width="6.33203125" style="380" customWidth="1"/>
    <col min="9215" max="9215" width="0.88671875" style="380" customWidth="1"/>
    <col min="9216" max="9217" width="13.109375" style="380" customWidth="1"/>
    <col min="9218" max="9219" width="0" style="380" hidden="1" customWidth="1"/>
    <col min="9220" max="9220" width="14.6640625" style="380" customWidth="1"/>
    <col min="9221" max="9228" width="9" style="380"/>
    <col min="9229" max="9231" width="0" style="380" hidden="1" customWidth="1"/>
    <col min="9232" max="9233" width="6.6640625" style="380" customWidth="1"/>
    <col min="9234" max="9239" width="8.6640625" style="380" customWidth="1"/>
    <col min="9240" max="9466" width="9" style="380"/>
    <col min="9467" max="9467" width="0.77734375" style="380" customWidth="1"/>
    <col min="9468" max="9468" width="0.6640625" style="380" customWidth="1"/>
    <col min="9469" max="9469" width="8.109375" style="380" customWidth="1"/>
    <col min="9470" max="9470" width="6.33203125" style="380" customWidth="1"/>
    <col min="9471" max="9471" width="0.88671875" style="380" customWidth="1"/>
    <col min="9472" max="9473" width="13.109375" style="380" customWidth="1"/>
    <col min="9474" max="9475" width="0" style="380" hidden="1" customWidth="1"/>
    <col min="9476" max="9476" width="14.6640625" style="380" customWidth="1"/>
    <col min="9477" max="9484" width="9" style="380"/>
    <col min="9485" max="9487" width="0" style="380" hidden="1" customWidth="1"/>
    <col min="9488" max="9489" width="6.6640625" style="380" customWidth="1"/>
    <col min="9490" max="9495" width="8.6640625" style="380" customWidth="1"/>
    <col min="9496" max="9722" width="9" style="380"/>
    <col min="9723" max="9723" width="0.77734375" style="380" customWidth="1"/>
    <col min="9724" max="9724" width="0.6640625" style="380" customWidth="1"/>
    <col min="9725" max="9725" width="8.109375" style="380" customWidth="1"/>
    <col min="9726" max="9726" width="6.33203125" style="380" customWidth="1"/>
    <col min="9727" max="9727" width="0.88671875" style="380" customWidth="1"/>
    <col min="9728" max="9729" width="13.109375" style="380" customWidth="1"/>
    <col min="9730" max="9731" width="0" style="380" hidden="1" customWidth="1"/>
    <col min="9732" max="9732" width="14.6640625" style="380" customWidth="1"/>
    <col min="9733" max="9740" width="9" style="380"/>
    <col min="9741" max="9743" width="0" style="380" hidden="1" customWidth="1"/>
    <col min="9744" max="9745" width="6.6640625" style="380" customWidth="1"/>
    <col min="9746" max="9751" width="8.6640625" style="380" customWidth="1"/>
    <col min="9752" max="9978" width="9" style="380"/>
    <col min="9979" max="9979" width="0.77734375" style="380" customWidth="1"/>
    <col min="9980" max="9980" width="0.6640625" style="380" customWidth="1"/>
    <col min="9981" max="9981" width="8.109375" style="380" customWidth="1"/>
    <col min="9982" max="9982" width="6.33203125" style="380" customWidth="1"/>
    <col min="9983" max="9983" width="0.88671875" style="380" customWidth="1"/>
    <col min="9984" max="9985" width="13.109375" style="380" customWidth="1"/>
    <col min="9986" max="9987" width="0" style="380" hidden="1" customWidth="1"/>
    <col min="9988" max="9988" width="14.6640625" style="380" customWidth="1"/>
    <col min="9989" max="9996" width="9" style="380"/>
    <col min="9997" max="9999" width="0" style="380" hidden="1" customWidth="1"/>
    <col min="10000" max="10001" width="6.6640625" style="380" customWidth="1"/>
    <col min="10002" max="10007" width="8.6640625" style="380" customWidth="1"/>
    <col min="10008" max="10234" width="9" style="380"/>
    <col min="10235" max="10235" width="0.77734375" style="380" customWidth="1"/>
    <col min="10236" max="10236" width="0.6640625" style="380" customWidth="1"/>
    <col min="10237" max="10237" width="8.109375" style="380" customWidth="1"/>
    <col min="10238" max="10238" width="6.33203125" style="380" customWidth="1"/>
    <col min="10239" max="10239" width="0.88671875" style="380" customWidth="1"/>
    <col min="10240" max="10241" width="13.109375" style="380" customWidth="1"/>
    <col min="10242" max="10243" width="0" style="380" hidden="1" customWidth="1"/>
    <col min="10244" max="10244" width="14.6640625" style="380" customWidth="1"/>
    <col min="10245" max="10252" width="9" style="380"/>
    <col min="10253" max="10255" width="0" style="380" hidden="1" customWidth="1"/>
    <col min="10256" max="10257" width="6.6640625" style="380" customWidth="1"/>
    <col min="10258" max="10263" width="8.6640625" style="380" customWidth="1"/>
    <col min="10264" max="10490" width="9" style="380"/>
    <col min="10491" max="10491" width="0.77734375" style="380" customWidth="1"/>
    <col min="10492" max="10492" width="0.6640625" style="380" customWidth="1"/>
    <col min="10493" max="10493" width="8.109375" style="380" customWidth="1"/>
    <col min="10494" max="10494" width="6.33203125" style="380" customWidth="1"/>
    <col min="10495" max="10495" width="0.88671875" style="380" customWidth="1"/>
    <col min="10496" max="10497" width="13.109375" style="380" customWidth="1"/>
    <col min="10498" max="10499" width="0" style="380" hidden="1" customWidth="1"/>
    <col min="10500" max="10500" width="14.6640625" style="380" customWidth="1"/>
    <col min="10501" max="10508" width="9" style="380"/>
    <col min="10509" max="10511" width="0" style="380" hidden="1" customWidth="1"/>
    <col min="10512" max="10513" width="6.6640625" style="380" customWidth="1"/>
    <col min="10514" max="10519" width="8.6640625" style="380" customWidth="1"/>
    <col min="10520" max="10746" width="9" style="380"/>
    <col min="10747" max="10747" width="0.77734375" style="380" customWidth="1"/>
    <col min="10748" max="10748" width="0.6640625" style="380" customWidth="1"/>
    <col min="10749" max="10749" width="8.109375" style="380" customWidth="1"/>
    <col min="10750" max="10750" width="6.33203125" style="380" customWidth="1"/>
    <col min="10751" max="10751" width="0.88671875" style="380" customWidth="1"/>
    <col min="10752" max="10753" width="13.109375" style="380" customWidth="1"/>
    <col min="10754" max="10755" width="0" style="380" hidden="1" customWidth="1"/>
    <col min="10756" max="10756" width="14.6640625" style="380" customWidth="1"/>
    <col min="10757" max="10764" width="9" style="380"/>
    <col min="10765" max="10767" width="0" style="380" hidden="1" customWidth="1"/>
    <col min="10768" max="10769" width="6.6640625" style="380" customWidth="1"/>
    <col min="10770" max="10775" width="8.6640625" style="380" customWidth="1"/>
    <col min="10776" max="11002" width="9" style="380"/>
    <col min="11003" max="11003" width="0.77734375" style="380" customWidth="1"/>
    <col min="11004" max="11004" width="0.6640625" style="380" customWidth="1"/>
    <col min="11005" max="11005" width="8.109375" style="380" customWidth="1"/>
    <col min="11006" max="11006" width="6.33203125" style="380" customWidth="1"/>
    <col min="11007" max="11007" width="0.88671875" style="380" customWidth="1"/>
    <col min="11008" max="11009" width="13.109375" style="380" customWidth="1"/>
    <col min="11010" max="11011" width="0" style="380" hidden="1" customWidth="1"/>
    <col min="11012" max="11012" width="14.6640625" style="380" customWidth="1"/>
    <col min="11013" max="11020" width="9" style="380"/>
    <col min="11021" max="11023" width="0" style="380" hidden="1" customWidth="1"/>
    <col min="11024" max="11025" width="6.6640625" style="380" customWidth="1"/>
    <col min="11026" max="11031" width="8.6640625" style="380" customWidth="1"/>
    <col min="11032" max="11258" width="9" style="380"/>
    <col min="11259" max="11259" width="0.77734375" style="380" customWidth="1"/>
    <col min="11260" max="11260" width="0.6640625" style="380" customWidth="1"/>
    <col min="11261" max="11261" width="8.109375" style="380" customWidth="1"/>
    <col min="11262" max="11262" width="6.33203125" style="380" customWidth="1"/>
    <col min="11263" max="11263" width="0.88671875" style="380" customWidth="1"/>
    <col min="11264" max="11265" width="13.109375" style="380" customWidth="1"/>
    <col min="11266" max="11267" width="0" style="380" hidden="1" customWidth="1"/>
    <col min="11268" max="11268" width="14.6640625" style="380" customWidth="1"/>
    <col min="11269" max="11276" width="9" style="380"/>
    <col min="11277" max="11279" width="0" style="380" hidden="1" customWidth="1"/>
    <col min="11280" max="11281" width="6.6640625" style="380" customWidth="1"/>
    <col min="11282" max="11287" width="8.6640625" style="380" customWidth="1"/>
    <col min="11288" max="11514" width="9" style="380"/>
    <col min="11515" max="11515" width="0.77734375" style="380" customWidth="1"/>
    <col min="11516" max="11516" width="0.6640625" style="380" customWidth="1"/>
    <col min="11517" max="11517" width="8.109375" style="380" customWidth="1"/>
    <col min="11518" max="11518" width="6.33203125" style="380" customWidth="1"/>
    <col min="11519" max="11519" width="0.88671875" style="380" customWidth="1"/>
    <col min="11520" max="11521" width="13.109375" style="380" customWidth="1"/>
    <col min="11522" max="11523" width="0" style="380" hidden="1" customWidth="1"/>
    <col min="11524" max="11524" width="14.6640625" style="380" customWidth="1"/>
    <col min="11525" max="11532" width="9" style="380"/>
    <col min="11533" max="11535" width="0" style="380" hidden="1" customWidth="1"/>
    <col min="11536" max="11537" width="6.6640625" style="380" customWidth="1"/>
    <col min="11538" max="11543" width="8.6640625" style="380" customWidth="1"/>
    <col min="11544" max="11770" width="9" style="380"/>
    <col min="11771" max="11771" width="0.77734375" style="380" customWidth="1"/>
    <col min="11772" max="11772" width="0.6640625" style="380" customWidth="1"/>
    <col min="11773" max="11773" width="8.109375" style="380" customWidth="1"/>
    <col min="11774" max="11774" width="6.33203125" style="380" customWidth="1"/>
    <col min="11775" max="11775" width="0.88671875" style="380" customWidth="1"/>
    <col min="11776" max="11777" width="13.109375" style="380" customWidth="1"/>
    <col min="11778" max="11779" width="0" style="380" hidden="1" customWidth="1"/>
    <col min="11780" max="11780" width="14.6640625" style="380" customWidth="1"/>
    <col min="11781" max="11788" width="9" style="380"/>
    <col min="11789" max="11791" width="0" style="380" hidden="1" customWidth="1"/>
    <col min="11792" max="11793" width="6.6640625" style="380" customWidth="1"/>
    <col min="11794" max="11799" width="8.6640625" style="380" customWidth="1"/>
    <col min="11800" max="12026" width="9" style="380"/>
    <col min="12027" max="12027" width="0.77734375" style="380" customWidth="1"/>
    <col min="12028" max="12028" width="0.6640625" style="380" customWidth="1"/>
    <col min="12029" max="12029" width="8.109375" style="380" customWidth="1"/>
    <col min="12030" max="12030" width="6.33203125" style="380" customWidth="1"/>
    <col min="12031" max="12031" width="0.88671875" style="380" customWidth="1"/>
    <col min="12032" max="12033" width="13.109375" style="380" customWidth="1"/>
    <col min="12034" max="12035" width="0" style="380" hidden="1" customWidth="1"/>
    <col min="12036" max="12036" width="14.6640625" style="380" customWidth="1"/>
    <col min="12037" max="12044" width="9" style="380"/>
    <col min="12045" max="12047" width="0" style="380" hidden="1" customWidth="1"/>
    <col min="12048" max="12049" width="6.6640625" style="380" customWidth="1"/>
    <col min="12050" max="12055" width="8.6640625" style="380" customWidth="1"/>
    <col min="12056" max="12282" width="9" style="380"/>
    <col min="12283" max="12283" width="0.77734375" style="380" customWidth="1"/>
    <col min="12284" max="12284" width="0.6640625" style="380" customWidth="1"/>
    <col min="12285" max="12285" width="8.109375" style="380" customWidth="1"/>
    <col min="12286" max="12286" width="6.33203125" style="380" customWidth="1"/>
    <col min="12287" max="12287" width="0.88671875" style="380" customWidth="1"/>
    <col min="12288" max="12289" width="13.109375" style="380" customWidth="1"/>
    <col min="12290" max="12291" width="0" style="380" hidden="1" customWidth="1"/>
    <col min="12292" max="12292" width="14.6640625" style="380" customWidth="1"/>
    <col min="12293" max="12300" width="9" style="380"/>
    <col min="12301" max="12303" width="0" style="380" hidden="1" customWidth="1"/>
    <col min="12304" max="12305" width="6.6640625" style="380" customWidth="1"/>
    <col min="12306" max="12311" width="8.6640625" style="380" customWidth="1"/>
    <col min="12312" max="12538" width="9" style="380"/>
    <col min="12539" max="12539" width="0.77734375" style="380" customWidth="1"/>
    <col min="12540" max="12540" width="0.6640625" style="380" customWidth="1"/>
    <col min="12541" max="12541" width="8.109375" style="380" customWidth="1"/>
    <col min="12542" max="12542" width="6.33203125" style="380" customWidth="1"/>
    <col min="12543" max="12543" width="0.88671875" style="380" customWidth="1"/>
    <col min="12544" max="12545" width="13.109375" style="380" customWidth="1"/>
    <col min="12546" max="12547" width="0" style="380" hidden="1" customWidth="1"/>
    <col min="12548" max="12548" width="14.6640625" style="380" customWidth="1"/>
    <col min="12549" max="12556" width="9" style="380"/>
    <col min="12557" max="12559" width="0" style="380" hidden="1" customWidth="1"/>
    <col min="12560" max="12561" width="6.6640625" style="380" customWidth="1"/>
    <col min="12562" max="12567" width="8.6640625" style="380" customWidth="1"/>
    <col min="12568" max="12794" width="9" style="380"/>
    <col min="12795" max="12795" width="0.77734375" style="380" customWidth="1"/>
    <col min="12796" max="12796" width="0.6640625" style="380" customWidth="1"/>
    <col min="12797" max="12797" width="8.109375" style="380" customWidth="1"/>
    <col min="12798" max="12798" width="6.33203125" style="380" customWidth="1"/>
    <col min="12799" max="12799" width="0.88671875" style="380" customWidth="1"/>
    <col min="12800" max="12801" width="13.109375" style="380" customWidth="1"/>
    <col min="12802" max="12803" width="0" style="380" hidden="1" customWidth="1"/>
    <col min="12804" max="12804" width="14.6640625" style="380" customWidth="1"/>
    <col min="12805" max="12812" width="9" style="380"/>
    <col min="12813" max="12815" width="0" style="380" hidden="1" customWidth="1"/>
    <col min="12816" max="12817" width="6.6640625" style="380" customWidth="1"/>
    <col min="12818" max="12823" width="8.6640625" style="380" customWidth="1"/>
    <col min="12824" max="13050" width="9" style="380"/>
    <col min="13051" max="13051" width="0.77734375" style="380" customWidth="1"/>
    <col min="13052" max="13052" width="0.6640625" style="380" customWidth="1"/>
    <col min="13053" max="13053" width="8.109375" style="380" customWidth="1"/>
    <col min="13054" max="13054" width="6.33203125" style="380" customWidth="1"/>
    <col min="13055" max="13055" width="0.88671875" style="380" customWidth="1"/>
    <col min="13056" max="13057" width="13.109375" style="380" customWidth="1"/>
    <col min="13058" max="13059" width="0" style="380" hidden="1" customWidth="1"/>
    <col min="13060" max="13060" width="14.6640625" style="380" customWidth="1"/>
    <col min="13061" max="13068" width="9" style="380"/>
    <col min="13069" max="13071" width="0" style="380" hidden="1" customWidth="1"/>
    <col min="13072" max="13073" width="6.6640625" style="380" customWidth="1"/>
    <col min="13074" max="13079" width="8.6640625" style="380" customWidth="1"/>
    <col min="13080" max="13306" width="9" style="380"/>
    <col min="13307" max="13307" width="0.77734375" style="380" customWidth="1"/>
    <col min="13308" max="13308" width="0.6640625" style="380" customWidth="1"/>
    <col min="13309" max="13309" width="8.109375" style="380" customWidth="1"/>
    <col min="13310" max="13310" width="6.33203125" style="380" customWidth="1"/>
    <col min="13311" max="13311" width="0.88671875" style="380" customWidth="1"/>
    <col min="13312" max="13313" width="13.109375" style="380" customWidth="1"/>
    <col min="13314" max="13315" width="0" style="380" hidden="1" customWidth="1"/>
    <col min="13316" max="13316" width="14.6640625" style="380" customWidth="1"/>
    <col min="13317" max="13324" width="9" style="380"/>
    <col min="13325" max="13327" width="0" style="380" hidden="1" customWidth="1"/>
    <col min="13328" max="13329" width="6.6640625" style="380" customWidth="1"/>
    <col min="13330" max="13335" width="8.6640625" style="380" customWidth="1"/>
    <col min="13336" max="13562" width="9" style="380"/>
    <col min="13563" max="13563" width="0.77734375" style="380" customWidth="1"/>
    <col min="13564" max="13564" width="0.6640625" style="380" customWidth="1"/>
    <col min="13565" max="13565" width="8.109375" style="380" customWidth="1"/>
    <col min="13566" max="13566" width="6.33203125" style="380" customWidth="1"/>
    <col min="13567" max="13567" width="0.88671875" style="380" customWidth="1"/>
    <col min="13568" max="13569" width="13.109375" style="380" customWidth="1"/>
    <col min="13570" max="13571" width="0" style="380" hidden="1" customWidth="1"/>
    <col min="13572" max="13572" width="14.6640625" style="380" customWidth="1"/>
    <col min="13573" max="13580" width="9" style="380"/>
    <col min="13581" max="13583" width="0" style="380" hidden="1" customWidth="1"/>
    <col min="13584" max="13585" width="6.6640625" style="380" customWidth="1"/>
    <col min="13586" max="13591" width="8.6640625" style="380" customWidth="1"/>
    <col min="13592" max="13818" width="9" style="380"/>
    <col min="13819" max="13819" width="0.77734375" style="380" customWidth="1"/>
    <col min="13820" max="13820" width="0.6640625" style="380" customWidth="1"/>
    <col min="13821" max="13821" width="8.109375" style="380" customWidth="1"/>
    <col min="13822" max="13822" width="6.33203125" style="380" customWidth="1"/>
    <col min="13823" max="13823" width="0.88671875" style="380" customWidth="1"/>
    <col min="13824" max="13825" width="13.109375" style="380" customWidth="1"/>
    <col min="13826" max="13827" width="0" style="380" hidden="1" customWidth="1"/>
    <col min="13828" max="13828" width="14.6640625" style="380" customWidth="1"/>
    <col min="13829" max="13836" width="9" style="380"/>
    <col min="13837" max="13839" width="0" style="380" hidden="1" customWidth="1"/>
    <col min="13840" max="13841" width="6.6640625" style="380" customWidth="1"/>
    <col min="13842" max="13847" width="8.6640625" style="380" customWidth="1"/>
    <col min="13848" max="14074" width="9" style="380"/>
    <col min="14075" max="14075" width="0.77734375" style="380" customWidth="1"/>
    <col min="14076" max="14076" width="0.6640625" style="380" customWidth="1"/>
    <col min="14077" max="14077" width="8.109375" style="380" customWidth="1"/>
    <col min="14078" max="14078" width="6.33203125" style="380" customWidth="1"/>
    <col min="14079" max="14079" width="0.88671875" style="380" customWidth="1"/>
    <col min="14080" max="14081" width="13.109375" style="380" customWidth="1"/>
    <col min="14082" max="14083" width="0" style="380" hidden="1" customWidth="1"/>
    <col min="14084" max="14084" width="14.6640625" style="380" customWidth="1"/>
    <col min="14085" max="14092" width="9" style="380"/>
    <col min="14093" max="14095" width="0" style="380" hidden="1" customWidth="1"/>
    <col min="14096" max="14097" width="6.6640625" style="380" customWidth="1"/>
    <col min="14098" max="14103" width="8.6640625" style="380" customWidth="1"/>
    <col min="14104" max="14330" width="9" style="380"/>
    <col min="14331" max="14331" width="0.77734375" style="380" customWidth="1"/>
    <col min="14332" max="14332" width="0.6640625" style="380" customWidth="1"/>
    <col min="14333" max="14333" width="8.109375" style="380" customWidth="1"/>
    <col min="14334" max="14334" width="6.33203125" style="380" customWidth="1"/>
    <col min="14335" max="14335" width="0.88671875" style="380" customWidth="1"/>
    <col min="14336" max="14337" width="13.109375" style="380" customWidth="1"/>
    <col min="14338" max="14339" width="0" style="380" hidden="1" customWidth="1"/>
    <col min="14340" max="14340" width="14.6640625" style="380" customWidth="1"/>
    <col min="14341" max="14348" width="9" style="380"/>
    <col min="14349" max="14351" width="0" style="380" hidden="1" customWidth="1"/>
    <col min="14352" max="14353" width="6.6640625" style="380" customWidth="1"/>
    <col min="14354" max="14359" width="8.6640625" style="380" customWidth="1"/>
    <col min="14360" max="14586" width="9" style="380"/>
    <col min="14587" max="14587" width="0.77734375" style="380" customWidth="1"/>
    <col min="14588" max="14588" width="0.6640625" style="380" customWidth="1"/>
    <col min="14589" max="14589" width="8.109375" style="380" customWidth="1"/>
    <col min="14590" max="14590" width="6.33203125" style="380" customWidth="1"/>
    <col min="14591" max="14591" width="0.88671875" style="380" customWidth="1"/>
    <col min="14592" max="14593" width="13.109375" style="380" customWidth="1"/>
    <col min="14594" max="14595" width="0" style="380" hidden="1" customWidth="1"/>
    <col min="14596" max="14596" width="14.6640625" style="380" customWidth="1"/>
    <col min="14597" max="14604" width="9" style="380"/>
    <col min="14605" max="14607" width="0" style="380" hidden="1" customWidth="1"/>
    <col min="14608" max="14609" width="6.6640625" style="380" customWidth="1"/>
    <col min="14610" max="14615" width="8.6640625" style="380" customWidth="1"/>
    <col min="14616" max="14842" width="9" style="380"/>
    <col min="14843" max="14843" width="0.77734375" style="380" customWidth="1"/>
    <col min="14844" max="14844" width="0.6640625" style="380" customWidth="1"/>
    <col min="14845" max="14845" width="8.109375" style="380" customWidth="1"/>
    <col min="14846" max="14846" width="6.33203125" style="380" customWidth="1"/>
    <col min="14847" max="14847" width="0.88671875" style="380" customWidth="1"/>
    <col min="14848" max="14849" width="13.109375" style="380" customWidth="1"/>
    <col min="14850" max="14851" width="0" style="380" hidden="1" customWidth="1"/>
    <col min="14852" max="14852" width="14.6640625" style="380" customWidth="1"/>
    <col min="14853" max="14860" width="9" style="380"/>
    <col min="14861" max="14863" width="0" style="380" hidden="1" customWidth="1"/>
    <col min="14864" max="14865" width="6.6640625" style="380" customWidth="1"/>
    <col min="14866" max="14871" width="8.6640625" style="380" customWidth="1"/>
    <col min="14872" max="15098" width="9" style="380"/>
    <col min="15099" max="15099" width="0.77734375" style="380" customWidth="1"/>
    <col min="15100" max="15100" width="0.6640625" style="380" customWidth="1"/>
    <col min="15101" max="15101" width="8.109375" style="380" customWidth="1"/>
    <col min="15102" max="15102" width="6.33203125" style="380" customWidth="1"/>
    <col min="15103" max="15103" width="0.88671875" style="380" customWidth="1"/>
    <col min="15104" max="15105" width="13.109375" style="380" customWidth="1"/>
    <col min="15106" max="15107" width="0" style="380" hidden="1" customWidth="1"/>
    <col min="15108" max="15108" width="14.6640625" style="380" customWidth="1"/>
    <col min="15109" max="15116" width="9" style="380"/>
    <col min="15117" max="15119" width="0" style="380" hidden="1" customWidth="1"/>
    <col min="15120" max="15121" width="6.6640625" style="380" customWidth="1"/>
    <col min="15122" max="15127" width="8.6640625" style="380" customWidth="1"/>
    <col min="15128" max="15354" width="9" style="380"/>
    <col min="15355" max="15355" width="0.77734375" style="380" customWidth="1"/>
    <col min="15356" max="15356" width="0.6640625" style="380" customWidth="1"/>
    <col min="15357" max="15357" width="8.109375" style="380" customWidth="1"/>
    <col min="15358" max="15358" width="6.33203125" style="380" customWidth="1"/>
    <col min="15359" max="15359" width="0.88671875" style="380" customWidth="1"/>
    <col min="15360" max="15361" width="13.109375" style="380" customWidth="1"/>
    <col min="15362" max="15363" width="0" style="380" hidden="1" customWidth="1"/>
    <col min="15364" max="15364" width="14.6640625" style="380" customWidth="1"/>
    <col min="15365" max="15372" width="9" style="380"/>
    <col min="15373" max="15375" width="0" style="380" hidden="1" customWidth="1"/>
    <col min="15376" max="15377" width="6.6640625" style="380" customWidth="1"/>
    <col min="15378" max="15383" width="8.6640625" style="380" customWidth="1"/>
    <col min="15384" max="15610" width="9" style="380"/>
    <col min="15611" max="15611" width="0.77734375" style="380" customWidth="1"/>
    <col min="15612" max="15612" width="0.6640625" style="380" customWidth="1"/>
    <col min="15613" max="15613" width="8.109375" style="380" customWidth="1"/>
    <col min="15614" max="15614" width="6.33203125" style="380" customWidth="1"/>
    <col min="15615" max="15615" width="0.88671875" style="380" customWidth="1"/>
    <col min="15616" max="15617" width="13.109375" style="380" customWidth="1"/>
    <col min="15618" max="15619" width="0" style="380" hidden="1" customWidth="1"/>
    <col min="15620" max="15620" width="14.6640625" style="380" customWidth="1"/>
    <col min="15621" max="15628" width="9" style="380"/>
    <col min="15629" max="15631" width="0" style="380" hidden="1" customWidth="1"/>
    <col min="15632" max="15633" width="6.6640625" style="380" customWidth="1"/>
    <col min="15634" max="15639" width="8.6640625" style="380" customWidth="1"/>
    <col min="15640" max="15866" width="9" style="380"/>
    <col min="15867" max="15867" width="0.77734375" style="380" customWidth="1"/>
    <col min="15868" max="15868" width="0.6640625" style="380" customWidth="1"/>
    <col min="15869" max="15869" width="8.109375" style="380" customWidth="1"/>
    <col min="15870" max="15870" width="6.33203125" style="380" customWidth="1"/>
    <col min="15871" max="15871" width="0.88671875" style="380" customWidth="1"/>
    <col min="15872" max="15873" width="13.109375" style="380" customWidth="1"/>
    <col min="15874" max="15875" width="0" style="380" hidden="1" customWidth="1"/>
    <col min="15876" max="15876" width="14.6640625" style="380" customWidth="1"/>
    <col min="15877" max="15884" width="9" style="380"/>
    <col min="15885" max="15887" width="0" style="380" hidden="1" customWidth="1"/>
    <col min="15888" max="15889" width="6.6640625" style="380" customWidth="1"/>
    <col min="15890" max="15895" width="8.6640625" style="380" customWidth="1"/>
    <col min="15896" max="16122" width="9" style="380"/>
    <col min="16123" max="16123" width="0.77734375" style="380" customWidth="1"/>
    <col min="16124" max="16124" width="0.6640625" style="380" customWidth="1"/>
    <col min="16125" max="16125" width="8.109375" style="380" customWidth="1"/>
    <col min="16126" max="16126" width="6.33203125" style="380" customWidth="1"/>
    <col min="16127" max="16127" width="0.88671875" style="380" customWidth="1"/>
    <col min="16128" max="16129" width="13.109375" style="380" customWidth="1"/>
    <col min="16130" max="16131" width="0" style="380" hidden="1" customWidth="1"/>
    <col min="16132" max="16132" width="14.6640625" style="380" customWidth="1"/>
    <col min="16133" max="16140" width="9" style="380"/>
    <col min="16141" max="16143" width="0" style="380" hidden="1" customWidth="1"/>
    <col min="16144" max="16145" width="6.6640625" style="380" customWidth="1"/>
    <col min="16146" max="16151" width="8.6640625" style="380" customWidth="1"/>
    <col min="16152" max="16384" width="9" style="380"/>
  </cols>
  <sheetData>
    <row r="1" spans="2:23" ht="18" customHeight="1">
      <c r="C1" s="728" t="str">
        <f>"第"&amp;基本情報!C11&amp;"期上期"</f>
        <v>第期上期</v>
      </c>
      <c r="E1" s="381" t="s">
        <v>196</v>
      </c>
      <c r="F1" s="381"/>
      <c r="G1" s="381"/>
      <c r="H1" s="381"/>
      <c r="I1" s="381"/>
      <c r="J1" s="381"/>
      <c r="K1" s="381"/>
      <c r="L1" s="381"/>
      <c r="M1" s="381"/>
      <c r="W1" s="478"/>
    </row>
    <row r="2" spans="2:23" ht="18" customHeight="1">
      <c r="C2" s="157"/>
      <c r="K2" s="381"/>
      <c r="L2" s="381"/>
      <c r="N2" s="936"/>
      <c r="O2" s="936"/>
    </row>
    <row r="3" spans="2:23" ht="18" customHeight="1">
      <c r="C3" s="130" t="s">
        <v>111</v>
      </c>
      <c r="E3" s="155">
        <f>基本情報!C4</f>
        <v>0</v>
      </c>
      <c r="F3" s="155">
        <f>基本情報!C6</f>
        <v>0</v>
      </c>
      <c r="G3" s="943" t="str">
        <f>基本情報!C8&amp;"・"&amp;基本情報!C7</f>
        <v>・</v>
      </c>
      <c r="H3" s="943"/>
      <c r="I3" s="479"/>
      <c r="J3" s="479"/>
      <c r="K3" s="381"/>
      <c r="L3" s="381"/>
      <c r="Q3" s="449"/>
      <c r="R3" s="449"/>
    </row>
    <row r="4" spans="2:23" ht="18" customHeight="1" thickBot="1">
      <c r="C4" s="380" t="s">
        <v>21</v>
      </c>
    </row>
    <row r="5" spans="2:23" ht="18" customHeight="1">
      <c r="B5" s="392"/>
      <c r="C5" s="480" t="s">
        <v>97</v>
      </c>
      <c r="D5" s="423"/>
      <c r="E5" s="937" t="s">
        <v>197</v>
      </c>
      <c r="F5" s="939" t="s">
        <v>198</v>
      </c>
      <c r="G5" s="941" t="s">
        <v>199</v>
      </c>
      <c r="H5" s="927" t="s">
        <v>200</v>
      </c>
      <c r="I5" s="928"/>
      <c r="J5" s="928"/>
      <c r="K5" s="928"/>
      <c r="L5" s="929"/>
      <c r="M5" s="930" t="s">
        <v>201</v>
      </c>
      <c r="N5" s="931"/>
      <c r="O5" s="932"/>
    </row>
    <row r="6" spans="2:23" ht="18" customHeight="1">
      <c r="B6" s="394"/>
      <c r="C6" s="481"/>
      <c r="D6" s="482"/>
      <c r="E6" s="938"/>
      <c r="F6" s="940"/>
      <c r="G6" s="942"/>
      <c r="H6" s="520"/>
      <c r="I6" s="520"/>
      <c r="J6" s="520"/>
      <c r="K6" s="520"/>
      <c r="L6" s="521"/>
      <c r="M6" s="933"/>
      <c r="N6" s="934"/>
      <c r="O6" s="935"/>
    </row>
    <row r="7" spans="2:23" ht="18" customHeight="1">
      <c r="B7" s="395"/>
      <c r="C7" s="483" t="s">
        <v>23</v>
      </c>
      <c r="D7" s="396"/>
      <c r="E7" s="484">
        <f>'Ｃ'!R8</f>
        <v>0</v>
      </c>
      <c r="F7" s="122"/>
      <c r="G7" s="485">
        <f>E7+F7</f>
        <v>0</v>
      </c>
      <c r="H7" s="42"/>
      <c r="I7" s="42"/>
      <c r="J7" s="42"/>
      <c r="K7" s="42"/>
      <c r="L7" s="43"/>
      <c r="M7" s="395"/>
      <c r="O7" s="396"/>
    </row>
    <row r="8" spans="2:23" ht="18" customHeight="1">
      <c r="B8" s="402">
        <v>10</v>
      </c>
      <c r="C8" s="403" t="s">
        <v>24</v>
      </c>
      <c r="D8" s="404"/>
      <c r="E8" s="484">
        <f>'Ｃ'!R9</f>
        <v>0</v>
      </c>
      <c r="F8" s="123"/>
      <c r="G8" s="485">
        <f t="shared" ref="G8:G27" si="0">E8+F8</f>
        <v>0</v>
      </c>
      <c r="H8" s="47"/>
      <c r="I8" s="47"/>
      <c r="J8" s="47"/>
      <c r="K8" s="47"/>
      <c r="L8" s="48"/>
      <c r="M8" s="402"/>
      <c r="N8" s="405"/>
      <c r="O8" s="404"/>
    </row>
    <row r="9" spans="2:23" ht="18" customHeight="1">
      <c r="B9" s="402">
        <v>11</v>
      </c>
      <c r="C9" s="486" t="s">
        <v>25</v>
      </c>
      <c r="D9" s="404"/>
      <c r="E9" s="484">
        <f>'Ｃ'!R10</f>
        <v>0</v>
      </c>
      <c r="F9" s="123"/>
      <c r="G9" s="485">
        <f t="shared" si="0"/>
        <v>0</v>
      </c>
      <c r="H9" s="47"/>
      <c r="I9" s="47"/>
      <c r="J9" s="47"/>
      <c r="K9" s="47"/>
      <c r="L9" s="48"/>
      <c r="M9" s="402"/>
      <c r="N9" s="405"/>
      <c r="O9" s="404"/>
    </row>
    <row r="10" spans="2:23" ht="18" customHeight="1">
      <c r="B10" s="402"/>
      <c r="C10" s="486" t="s">
        <v>26</v>
      </c>
      <c r="D10" s="404"/>
      <c r="E10" s="484">
        <f>'Ｃ'!R11</f>
        <v>0</v>
      </c>
      <c r="F10" s="123"/>
      <c r="G10" s="485">
        <f t="shared" si="0"/>
        <v>0</v>
      </c>
      <c r="H10" s="47"/>
      <c r="I10" s="47"/>
      <c r="J10" s="47"/>
      <c r="K10" s="47"/>
      <c r="L10" s="48"/>
      <c r="M10" s="402"/>
      <c r="N10" s="405"/>
      <c r="O10" s="404"/>
    </row>
    <row r="11" spans="2:23" ht="18" customHeight="1">
      <c r="B11" s="402">
        <v>12</v>
      </c>
      <c r="C11" s="403" t="s">
        <v>27</v>
      </c>
      <c r="D11" s="404"/>
      <c r="E11" s="484">
        <f>'Ｃ'!R12</f>
        <v>0</v>
      </c>
      <c r="F11" s="123"/>
      <c r="G11" s="485">
        <f t="shared" si="0"/>
        <v>0</v>
      </c>
      <c r="H11" s="47"/>
      <c r="I11" s="47"/>
      <c r="J11" s="47"/>
      <c r="K11" s="47"/>
      <c r="L11" s="48"/>
      <c r="M11" s="402"/>
      <c r="N11" s="405"/>
      <c r="O11" s="404"/>
    </row>
    <row r="12" spans="2:23" ht="18" customHeight="1">
      <c r="B12" s="402">
        <v>13</v>
      </c>
      <c r="C12" s="403" t="s">
        <v>28</v>
      </c>
      <c r="D12" s="404"/>
      <c r="E12" s="484">
        <f>'Ｃ'!R13</f>
        <v>0</v>
      </c>
      <c r="F12" s="123"/>
      <c r="G12" s="485">
        <f t="shared" si="0"/>
        <v>0</v>
      </c>
      <c r="H12" s="47"/>
      <c r="I12" s="47"/>
      <c r="J12" s="47"/>
      <c r="K12" s="47"/>
      <c r="L12" s="48"/>
      <c r="M12" s="402"/>
      <c r="N12" s="405"/>
      <c r="O12" s="404"/>
    </row>
    <row r="13" spans="2:23" ht="18" customHeight="1">
      <c r="B13" s="402">
        <v>14</v>
      </c>
      <c r="C13" s="403" t="s">
        <v>29</v>
      </c>
      <c r="D13" s="404"/>
      <c r="E13" s="484">
        <f>'Ｃ'!R14</f>
        <v>0</v>
      </c>
      <c r="F13" s="123"/>
      <c r="G13" s="485">
        <f t="shared" si="0"/>
        <v>0</v>
      </c>
      <c r="H13" s="47"/>
      <c r="I13" s="47"/>
      <c r="J13" s="47"/>
      <c r="K13" s="47"/>
      <c r="L13" s="48"/>
      <c r="M13" s="402"/>
      <c r="N13" s="405"/>
      <c r="O13" s="404"/>
    </row>
    <row r="14" spans="2:23" ht="18" customHeight="1">
      <c r="B14" s="402">
        <v>22</v>
      </c>
      <c r="C14" s="403" t="s">
        <v>30</v>
      </c>
      <c r="D14" s="404"/>
      <c r="E14" s="484">
        <f>'Ｃ'!R15</f>
        <v>0</v>
      </c>
      <c r="F14" s="123"/>
      <c r="G14" s="485">
        <f t="shared" si="0"/>
        <v>0</v>
      </c>
      <c r="H14" s="47"/>
      <c r="I14" s="47"/>
      <c r="J14" s="47"/>
      <c r="K14" s="47"/>
      <c r="L14" s="48"/>
      <c r="M14" s="402"/>
      <c r="N14" s="405"/>
      <c r="O14" s="404"/>
    </row>
    <row r="15" spans="2:23" ht="18" customHeight="1">
      <c r="B15" s="402">
        <v>23</v>
      </c>
      <c r="C15" s="403" t="s">
        <v>31</v>
      </c>
      <c r="D15" s="404"/>
      <c r="E15" s="484">
        <f>'Ｃ'!R16</f>
        <v>0</v>
      </c>
      <c r="F15" s="123"/>
      <c r="G15" s="485">
        <f t="shared" si="0"/>
        <v>0</v>
      </c>
      <c r="H15" s="47"/>
      <c r="I15" s="47"/>
      <c r="J15" s="47"/>
      <c r="K15" s="47"/>
      <c r="L15" s="48"/>
      <c r="M15" s="402"/>
      <c r="N15" s="405"/>
      <c r="O15" s="404"/>
    </row>
    <row r="16" spans="2:23" ht="18" customHeight="1">
      <c r="B16" s="402">
        <v>32</v>
      </c>
      <c r="C16" s="403" t="s">
        <v>32</v>
      </c>
      <c r="D16" s="404"/>
      <c r="E16" s="484">
        <f>'Ｃ'!R17</f>
        <v>0</v>
      </c>
      <c r="F16" s="123"/>
      <c r="G16" s="485">
        <f t="shared" si="0"/>
        <v>0</v>
      </c>
      <c r="H16" s="47"/>
      <c r="I16" s="47"/>
      <c r="J16" s="47"/>
      <c r="K16" s="47"/>
      <c r="L16" s="48"/>
      <c r="M16" s="402"/>
      <c r="N16" s="405"/>
      <c r="O16" s="404"/>
    </row>
    <row r="17" spans="2:15" ht="18" customHeight="1">
      <c r="B17" s="402">
        <v>33</v>
      </c>
      <c r="C17" s="403" t="s">
        <v>33</v>
      </c>
      <c r="D17" s="404"/>
      <c r="E17" s="484">
        <f>'Ｃ'!R18</f>
        <v>0</v>
      </c>
      <c r="F17" s="123"/>
      <c r="G17" s="485">
        <f t="shared" si="0"/>
        <v>0</v>
      </c>
      <c r="H17" s="47"/>
      <c r="I17" s="47"/>
      <c r="J17" s="47"/>
      <c r="K17" s="47"/>
      <c r="L17" s="48"/>
      <c r="M17" s="402"/>
      <c r="N17" s="405"/>
      <c r="O17" s="404"/>
    </row>
    <row r="18" spans="2:15" ht="18" customHeight="1">
      <c r="B18" s="402">
        <v>34</v>
      </c>
      <c r="C18" s="403" t="s">
        <v>34</v>
      </c>
      <c r="D18" s="404"/>
      <c r="E18" s="484">
        <f>'Ｃ'!R19</f>
        <v>0</v>
      </c>
      <c r="F18" s="123"/>
      <c r="G18" s="485">
        <f t="shared" si="0"/>
        <v>0</v>
      </c>
      <c r="H18" s="47"/>
      <c r="I18" s="47"/>
      <c r="J18" s="47"/>
      <c r="K18" s="47"/>
      <c r="L18" s="48"/>
      <c r="M18" s="402"/>
      <c r="N18" s="405"/>
      <c r="O18" s="404"/>
    </row>
    <row r="19" spans="2:15" ht="18" customHeight="1">
      <c r="B19" s="402">
        <v>41</v>
      </c>
      <c r="C19" s="403" t="s">
        <v>35</v>
      </c>
      <c r="D19" s="404"/>
      <c r="E19" s="484">
        <f>'Ｃ'!R20</f>
        <v>0</v>
      </c>
      <c r="F19" s="123"/>
      <c r="G19" s="485">
        <f t="shared" si="0"/>
        <v>0</v>
      </c>
      <c r="H19" s="47"/>
      <c r="I19" s="47"/>
      <c r="J19" s="47"/>
      <c r="K19" s="47"/>
      <c r="L19" s="48"/>
      <c r="M19" s="402"/>
      <c r="N19" s="405"/>
      <c r="O19" s="404"/>
    </row>
    <row r="20" spans="2:15" ht="18" customHeight="1">
      <c r="B20" s="402">
        <v>42</v>
      </c>
      <c r="C20" s="403" t="s">
        <v>36</v>
      </c>
      <c r="D20" s="404"/>
      <c r="E20" s="484">
        <f>'Ｃ'!R21</f>
        <v>0</v>
      </c>
      <c r="F20" s="123"/>
      <c r="G20" s="485">
        <f t="shared" si="0"/>
        <v>0</v>
      </c>
      <c r="H20" s="47"/>
      <c r="I20" s="47"/>
      <c r="J20" s="47"/>
      <c r="K20" s="47"/>
      <c r="L20" s="48"/>
      <c r="M20" s="402"/>
      <c r="N20" s="405"/>
      <c r="O20" s="404"/>
    </row>
    <row r="21" spans="2:15" ht="18" customHeight="1">
      <c r="B21" s="402">
        <v>43</v>
      </c>
      <c r="C21" s="403" t="s">
        <v>37</v>
      </c>
      <c r="D21" s="404"/>
      <c r="E21" s="484">
        <f>'Ｃ'!R22</f>
        <v>0</v>
      </c>
      <c r="F21" s="123"/>
      <c r="G21" s="485">
        <f t="shared" si="0"/>
        <v>0</v>
      </c>
      <c r="H21" s="47"/>
      <c r="I21" s="47"/>
      <c r="J21" s="47"/>
      <c r="K21" s="47"/>
      <c r="L21" s="48"/>
      <c r="M21" s="402"/>
      <c r="N21" s="405"/>
      <c r="O21" s="404"/>
    </row>
    <row r="22" spans="2:15" ht="18" customHeight="1">
      <c r="B22" s="402">
        <v>44</v>
      </c>
      <c r="C22" s="403" t="s">
        <v>38</v>
      </c>
      <c r="D22" s="404"/>
      <c r="E22" s="484">
        <f>'Ｃ'!R23</f>
        <v>0</v>
      </c>
      <c r="F22" s="123"/>
      <c r="G22" s="485">
        <f t="shared" si="0"/>
        <v>0</v>
      </c>
      <c r="H22" s="47"/>
      <c r="I22" s="47"/>
      <c r="J22" s="47"/>
      <c r="K22" s="47"/>
      <c r="L22" s="48"/>
      <c r="M22" s="402"/>
      <c r="N22" s="405"/>
      <c r="O22" s="404"/>
    </row>
    <row r="23" spans="2:15" ht="18" customHeight="1">
      <c r="B23" s="402">
        <v>45</v>
      </c>
      <c r="C23" s="403" t="s">
        <v>39</v>
      </c>
      <c r="D23" s="404"/>
      <c r="E23" s="484">
        <f>'Ｃ'!R24</f>
        <v>0</v>
      </c>
      <c r="F23" s="123"/>
      <c r="G23" s="485">
        <f t="shared" si="0"/>
        <v>0</v>
      </c>
      <c r="H23" s="47"/>
      <c r="I23" s="47"/>
      <c r="J23" s="47"/>
      <c r="K23" s="47"/>
      <c r="L23" s="48"/>
      <c r="M23" s="402"/>
      <c r="N23" s="405"/>
      <c r="O23" s="404"/>
    </row>
    <row r="24" spans="2:15" ht="18" customHeight="1">
      <c r="B24" s="402">
        <v>46</v>
      </c>
      <c r="C24" s="403" t="s">
        <v>40</v>
      </c>
      <c r="D24" s="404"/>
      <c r="E24" s="484">
        <f>'Ｃ'!R25</f>
        <v>0</v>
      </c>
      <c r="F24" s="123"/>
      <c r="G24" s="485">
        <f t="shared" si="0"/>
        <v>0</v>
      </c>
      <c r="H24" s="47"/>
      <c r="I24" s="47"/>
      <c r="J24" s="47"/>
      <c r="K24" s="47"/>
      <c r="L24" s="48"/>
      <c r="M24" s="402"/>
      <c r="N24" s="405"/>
      <c r="O24" s="404"/>
    </row>
    <row r="25" spans="2:15" ht="18" customHeight="1">
      <c r="B25" s="402">
        <v>47</v>
      </c>
      <c r="C25" s="403" t="s">
        <v>17</v>
      </c>
      <c r="D25" s="404"/>
      <c r="E25" s="484">
        <f>'Ｃ'!R26</f>
        <v>0</v>
      </c>
      <c r="F25" s="123"/>
      <c r="G25" s="485">
        <f t="shared" si="0"/>
        <v>0</v>
      </c>
      <c r="H25" s="47"/>
      <c r="I25" s="47"/>
      <c r="J25" s="47"/>
      <c r="K25" s="47"/>
      <c r="L25" s="48"/>
      <c r="M25" s="402"/>
      <c r="N25" s="405"/>
      <c r="O25" s="404"/>
    </row>
    <row r="26" spans="2:15" ht="18" customHeight="1">
      <c r="B26" s="402">
        <v>48</v>
      </c>
      <c r="C26" s="403" t="s">
        <v>41</v>
      </c>
      <c r="D26" s="404"/>
      <c r="E26" s="484">
        <f>'Ｃ'!R27</f>
        <v>0</v>
      </c>
      <c r="F26" s="123"/>
      <c r="G26" s="485">
        <f t="shared" si="0"/>
        <v>0</v>
      </c>
      <c r="H26" s="47"/>
      <c r="I26" s="47"/>
      <c r="J26" s="47"/>
      <c r="K26" s="47"/>
      <c r="L26" s="48"/>
      <c r="M26" s="402"/>
      <c r="N26" s="405"/>
      <c r="O26" s="404"/>
    </row>
    <row r="27" spans="2:15" ht="18" customHeight="1">
      <c r="B27" s="402">
        <v>49</v>
      </c>
      <c r="C27" s="403" t="s">
        <v>42</v>
      </c>
      <c r="D27" s="404"/>
      <c r="E27" s="484">
        <f>'Ｃ'!R28</f>
        <v>0</v>
      </c>
      <c r="F27" s="123"/>
      <c r="G27" s="485">
        <f t="shared" si="0"/>
        <v>0</v>
      </c>
      <c r="H27" s="47"/>
      <c r="I27" s="47"/>
      <c r="J27" s="47"/>
      <c r="K27" s="47"/>
      <c r="L27" s="48"/>
      <c r="M27" s="402"/>
      <c r="N27" s="405"/>
      <c r="O27" s="404"/>
    </row>
    <row r="28" spans="2:15" ht="18" customHeight="1">
      <c r="B28" s="408"/>
      <c r="C28" s="443"/>
      <c r="D28" s="410"/>
      <c r="E28" s="484"/>
      <c r="F28" s="487"/>
      <c r="G28" s="488"/>
      <c r="H28" s="47"/>
      <c r="I28" s="47"/>
      <c r="J28" s="47"/>
      <c r="K28" s="47"/>
      <c r="L28" s="48"/>
      <c r="M28" s="489"/>
      <c r="N28" s="490"/>
      <c r="O28" s="491"/>
    </row>
    <row r="29" spans="2:15" ht="18" customHeight="1">
      <c r="B29" s="417"/>
      <c r="C29" s="418" t="s">
        <v>18</v>
      </c>
      <c r="D29" s="419"/>
      <c r="E29" s="492">
        <f>SUM(E7:E27)</f>
        <v>0</v>
      </c>
      <c r="F29" s="493">
        <f>SUM(F7:F27)</f>
        <v>0</v>
      </c>
      <c r="G29" s="494">
        <f>SUM(G7:G27)</f>
        <v>0</v>
      </c>
      <c r="H29" s="47"/>
      <c r="I29" s="47"/>
      <c r="J29" s="47"/>
      <c r="K29" s="47"/>
      <c r="L29" s="48"/>
      <c r="M29" s="394"/>
      <c r="N29" s="495"/>
      <c r="O29" s="482"/>
    </row>
    <row r="30" spans="2:15" ht="18" customHeight="1">
      <c r="B30" s="496"/>
      <c r="C30" s="422" t="s">
        <v>45</v>
      </c>
      <c r="D30" s="497"/>
      <c r="E30" s="498">
        <f>'Ｃ'!R43</f>
        <v>0</v>
      </c>
      <c r="F30" s="123"/>
      <c r="G30" s="499">
        <f t="shared" ref="G30:G35" si="1">E30+F30</f>
        <v>0</v>
      </c>
      <c r="H30" s="47"/>
      <c r="I30" s="47"/>
      <c r="J30" s="47"/>
      <c r="K30" s="47"/>
      <c r="L30" s="48"/>
    </row>
    <row r="31" spans="2:15" ht="18" customHeight="1">
      <c r="B31" s="500"/>
      <c r="C31" s="433" t="s">
        <v>106</v>
      </c>
      <c r="D31" s="501"/>
      <c r="E31" s="502">
        <f>SUM(E29:E30)</f>
        <v>0</v>
      </c>
      <c r="F31" s="503">
        <f>SUM(F29:F30)</f>
        <v>0</v>
      </c>
      <c r="G31" s="504">
        <f t="shared" si="1"/>
        <v>0</v>
      </c>
      <c r="H31" s="47"/>
      <c r="I31" s="47"/>
      <c r="J31" s="47"/>
      <c r="K31" s="47"/>
      <c r="L31" s="48"/>
    </row>
    <row r="32" spans="2:15" ht="18" customHeight="1">
      <c r="B32" s="496"/>
      <c r="C32" s="422" t="s">
        <v>104</v>
      </c>
      <c r="D32" s="497"/>
      <c r="E32" s="498">
        <f>'Ｃ'!R45</f>
        <v>0</v>
      </c>
      <c r="F32" s="122"/>
      <c r="G32" s="505">
        <f t="shared" si="1"/>
        <v>0</v>
      </c>
      <c r="H32" s="47"/>
      <c r="I32" s="47"/>
      <c r="J32" s="47"/>
      <c r="K32" s="47"/>
      <c r="L32" s="48"/>
    </row>
    <row r="33" spans="2:12" ht="18" customHeight="1">
      <c r="B33" s="506"/>
      <c r="C33" s="403" t="s">
        <v>116</v>
      </c>
      <c r="D33" s="507"/>
      <c r="E33" s="439">
        <f>'Ｃ'!R46</f>
        <v>0</v>
      </c>
      <c r="F33" s="123"/>
      <c r="G33" s="508">
        <f t="shared" si="1"/>
        <v>0</v>
      </c>
      <c r="H33" s="47"/>
      <c r="I33" s="47"/>
      <c r="J33" s="47"/>
      <c r="K33" s="47"/>
      <c r="L33" s="48"/>
    </row>
    <row r="34" spans="2:12" ht="18" customHeight="1">
      <c r="B34" s="509"/>
      <c r="C34" s="443" t="s">
        <v>105</v>
      </c>
      <c r="D34" s="510"/>
      <c r="E34" s="450">
        <f>'Ｃ'!R47</f>
        <v>0</v>
      </c>
      <c r="F34" s="123"/>
      <c r="G34" s="511">
        <f t="shared" si="1"/>
        <v>0</v>
      </c>
      <c r="H34" s="47"/>
      <c r="I34" s="47"/>
      <c r="J34" s="47"/>
      <c r="K34" s="47"/>
      <c r="L34" s="48"/>
    </row>
    <row r="35" spans="2:12" ht="18" customHeight="1">
      <c r="B35" s="512"/>
      <c r="C35" s="418" t="s">
        <v>107</v>
      </c>
      <c r="D35" s="513"/>
      <c r="E35" s="514">
        <f>SUM(E32:E34)</f>
        <v>0</v>
      </c>
      <c r="F35" s="514">
        <f>SUM(F32:F34)</f>
        <v>0</v>
      </c>
      <c r="G35" s="515">
        <f t="shared" si="1"/>
        <v>0</v>
      </c>
      <c r="H35" s="47"/>
      <c r="I35" s="47"/>
      <c r="J35" s="47"/>
      <c r="K35" s="47"/>
      <c r="L35" s="48"/>
    </row>
    <row r="36" spans="2:12" ht="18" customHeight="1">
      <c r="B36" s="395"/>
      <c r="D36" s="396"/>
      <c r="E36" s="390"/>
      <c r="F36" s="390"/>
      <c r="G36" s="499"/>
      <c r="H36" s="47"/>
      <c r="I36" s="47"/>
      <c r="J36" s="47"/>
      <c r="K36" s="47"/>
      <c r="L36" s="48"/>
    </row>
    <row r="37" spans="2:12" ht="18" customHeight="1" thickBot="1">
      <c r="B37" s="516"/>
      <c r="C37" s="448" t="s">
        <v>46</v>
      </c>
      <c r="D37" s="517"/>
      <c r="E37" s="518">
        <f>SUM(E35,E31)</f>
        <v>0</v>
      </c>
      <c r="F37" s="518">
        <f>SUM(F35,F31)</f>
        <v>0</v>
      </c>
      <c r="G37" s="519">
        <f t="shared" ref="G37" si="2">E37+F37</f>
        <v>0</v>
      </c>
      <c r="H37" s="158"/>
      <c r="I37" s="119"/>
      <c r="J37" s="119"/>
      <c r="K37" s="119"/>
      <c r="L37" s="120"/>
    </row>
  </sheetData>
  <sheetProtection algorithmName="SHA-512" hashValue="EDnGbApuqyswOIrfHzMaB+kYU7dE9xBNXmRslsAUfQ+LSOFmtCPygoWNnFAqIDvMwtgXXw8cPE0co7cGeFMs+A==" saltValue="oH9hi/RCK9Y/hvFyrIGt1Q==" spinCount="100000" sheet="1" objects="1" scenarios="1"/>
  <mergeCells count="8">
    <mergeCell ref="H5:L5"/>
    <mergeCell ref="M5:O5"/>
    <mergeCell ref="M6:O6"/>
    <mergeCell ref="N2:O2"/>
    <mergeCell ref="E5:E6"/>
    <mergeCell ref="F5:F6"/>
    <mergeCell ref="G5:G6"/>
    <mergeCell ref="G3:H3"/>
  </mergeCells>
  <phoneticPr fontId="6"/>
  <pageMargins left="0.56999999999999995" right="0.36" top="0.74803149606299213" bottom="0.74803149606299213" header="0.31496062992125984" footer="0.31496062992125984"/>
  <pageSetup paperSize="9" scale="95"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C9782-D2A9-4C90-BCB6-03031E260F6E}">
  <sheetPr codeName="Sheet7">
    <pageSetUpPr fitToPage="1"/>
  </sheetPr>
  <dimension ref="B2:Y44"/>
  <sheetViews>
    <sheetView showGridLines="0" zoomScaleNormal="100" workbookViewId="0">
      <pane xSplit="4" ySplit="5" topLeftCell="E6" activePane="bottomRight" state="frozen"/>
      <selection pane="topRight"/>
      <selection pane="bottomLeft"/>
      <selection pane="bottomRight"/>
    </sheetView>
  </sheetViews>
  <sheetFormatPr defaultColWidth="8" defaultRowHeight="12"/>
  <cols>
    <col min="1" max="1" width="0.77734375" style="522" customWidth="1"/>
    <col min="2" max="2" width="3.109375" style="522" customWidth="1"/>
    <col min="3" max="3" width="20.44140625" style="522" customWidth="1"/>
    <col min="4" max="4" width="0.77734375" style="522" customWidth="1"/>
    <col min="5" max="18" width="7.6640625" style="522" customWidth="1"/>
    <col min="19" max="16384" width="8" style="522"/>
  </cols>
  <sheetData>
    <row r="2" spans="2:25" ht="14.4">
      <c r="C2" s="91" t="str">
        <f>"第"&amp;基本情報!C11&amp;"期"</f>
        <v>第期</v>
      </c>
      <c r="E2" s="273" t="e">
        <f>LEFT(基本情報!C13,4) &amp; "年" &amp; MID(基本情報!C13,5,2) &amp; "月～" &amp; LEFT(基本情報!C18,4) &amp; "年" &amp; MID(基本情報!C18,5,2) &amp; "月"</f>
        <v>#VALUE!</v>
      </c>
      <c r="I2" s="523" t="s">
        <v>275</v>
      </c>
      <c r="S2" s="283" t="s">
        <v>111</v>
      </c>
      <c r="T2" s="495">
        <f>基本情報!C4</f>
        <v>0</v>
      </c>
      <c r="U2" s="495"/>
      <c r="V2" s="495">
        <f>基本情報!C6</f>
        <v>0</v>
      </c>
      <c r="W2" s="495"/>
      <c r="X2" s="495" t="str">
        <f>基本情報!C8&amp;"・"&amp;基本情報!C7</f>
        <v>・</v>
      </c>
      <c r="Y2" s="495"/>
    </row>
    <row r="4" spans="2:25" ht="15" customHeight="1">
      <c r="B4" s="947" t="s">
        <v>202</v>
      </c>
      <c r="C4" s="948"/>
      <c r="D4" s="949"/>
      <c r="E4" s="953" t="e">
        <f>DBCS(基本情報!D13)&amp;"月"</f>
        <v>#VALUE!</v>
      </c>
      <c r="F4" s="954"/>
      <c r="G4" s="953" t="str">
        <f>DBCS(基本情報!D14)&amp;"月"</f>
        <v>１月</v>
      </c>
      <c r="H4" s="954"/>
      <c r="I4" s="953" t="str">
        <f>DBCS(基本情報!D15)&amp;"月"</f>
        <v>２月</v>
      </c>
      <c r="J4" s="954"/>
      <c r="K4" s="953" t="e">
        <f>DBCS(基本情報!D16)&amp;"月"</f>
        <v>#VALUE!</v>
      </c>
      <c r="L4" s="954"/>
      <c r="M4" s="953" t="e">
        <f>DBCS(基本情報!D17)&amp;"月"</f>
        <v>#VALUE!</v>
      </c>
      <c r="N4" s="954"/>
      <c r="O4" s="953" t="e">
        <f>DBCS(基本情報!D18)&amp;"月"</f>
        <v>#VALUE!</v>
      </c>
      <c r="P4" s="954"/>
      <c r="Q4" s="955" t="s">
        <v>203</v>
      </c>
      <c r="R4" s="956"/>
      <c r="S4" s="944" t="s">
        <v>204</v>
      </c>
      <c r="T4" s="945"/>
      <c r="U4" s="945"/>
      <c r="V4" s="945"/>
      <c r="W4" s="946"/>
      <c r="X4" s="524" t="s">
        <v>130</v>
      </c>
      <c r="Y4" s="525" t="s">
        <v>268</v>
      </c>
    </row>
    <row r="5" spans="2:25" ht="15" customHeight="1">
      <c r="B5" s="950"/>
      <c r="C5" s="951"/>
      <c r="D5" s="952"/>
      <c r="E5" s="526" t="s">
        <v>205</v>
      </c>
      <c r="F5" s="527" t="s">
        <v>206</v>
      </c>
      <c r="G5" s="526" t="s">
        <v>205</v>
      </c>
      <c r="H5" s="527" t="s">
        <v>206</v>
      </c>
      <c r="I5" s="526" t="s">
        <v>205</v>
      </c>
      <c r="J5" s="527" t="s">
        <v>206</v>
      </c>
      <c r="K5" s="526" t="s">
        <v>205</v>
      </c>
      <c r="L5" s="527" t="s">
        <v>206</v>
      </c>
      <c r="M5" s="526" t="s">
        <v>205</v>
      </c>
      <c r="N5" s="527" t="s">
        <v>206</v>
      </c>
      <c r="O5" s="526" t="s">
        <v>205</v>
      </c>
      <c r="P5" s="527" t="s">
        <v>206</v>
      </c>
      <c r="Q5" s="526" t="s">
        <v>205</v>
      </c>
      <c r="R5" s="527" t="s">
        <v>206</v>
      </c>
      <c r="S5" s="528"/>
      <c r="T5" s="529"/>
      <c r="U5" s="529"/>
      <c r="V5" s="529"/>
      <c r="W5" s="529"/>
      <c r="X5" s="530"/>
      <c r="Y5" s="531"/>
    </row>
    <row r="6" spans="2:25" ht="15" customHeight="1">
      <c r="B6" s="532"/>
      <c r="C6" s="533" t="s">
        <v>207</v>
      </c>
      <c r="D6" s="534"/>
      <c r="E6" s="535"/>
      <c r="F6" s="676"/>
      <c r="G6" s="536"/>
      <c r="H6" s="676"/>
      <c r="I6" s="535"/>
      <c r="J6" s="676"/>
      <c r="K6" s="535"/>
      <c r="L6" s="676"/>
      <c r="M6" s="535"/>
      <c r="N6" s="677"/>
      <c r="O6" s="535"/>
      <c r="P6" s="677"/>
      <c r="Q6" s="535"/>
      <c r="R6" s="678"/>
      <c r="S6" s="679"/>
      <c r="T6" s="680"/>
      <c r="U6" s="680"/>
      <c r="V6" s="680"/>
      <c r="W6" s="680"/>
      <c r="X6" s="681"/>
      <c r="Y6" s="682"/>
    </row>
    <row r="7" spans="2:25" ht="15" customHeight="1">
      <c r="B7" s="537">
        <v>1</v>
      </c>
      <c r="C7" s="538" t="s">
        <v>208</v>
      </c>
      <c r="D7" s="539"/>
      <c r="E7" s="683"/>
      <c r="F7" s="684"/>
      <c r="G7" s="683"/>
      <c r="H7" s="684"/>
      <c r="I7" s="683"/>
      <c r="J7" s="684"/>
      <c r="K7" s="683"/>
      <c r="L7" s="684"/>
      <c r="M7" s="683"/>
      <c r="N7" s="684"/>
      <c r="O7" s="683"/>
      <c r="P7" s="684"/>
      <c r="Q7" s="683">
        <f>SUM(E7,G7,I7,K7,M7,O7)</f>
        <v>0</v>
      </c>
      <c r="R7" s="685">
        <f t="shared" ref="R7:R26" si="0">SUM(F7,H7,J7,L7,N7,P7)</f>
        <v>0</v>
      </c>
      <c r="S7" s="686"/>
      <c r="T7" s="687"/>
      <c r="U7" s="687"/>
      <c r="V7" s="687"/>
      <c r="W7" s="687"/>
      <c r="X7" s="688"/>
      <c r="Y7" s="689">
        <f>SUM(R7,X7)</f>
        <v>0</v>
      </c>
    </row>
    <row r="8" spans="2:25" ht="15" customHeight="1">
      <c r="B8" s="537">
        <v>2</v>
      </c>
      <c r="C8" s="538" t="s">
        <v>209</v>
      </c>
      <c r="D8" s="539"/>
      <c r="E8" s="683"/>
      <c r="F8" s="684"/>
      <c r="G8" s="683"/>
      <c r="H8" s="684"/>
      <c r="I8" s="683"/>
      <c r="J8" s="684"/>
      <c r="K8" s="683"/>
      <c r="L8" s="684"/>
      <c r="M8" s="683"/>
      <c r="N8" s="684"/>
      <c r="O8" s="683"/>
      <c r="P8" s="684"/>
      <c r="Q8" s="683">
        <f t="shared" ref="Q8:Q26" si="1">SUM(E8,G8,I8,K8,M8,O8)</f>
        <v>0</v>
      </c>
      <c r="R8" s="685">
        <f t="shared" si="0"/>
        <v>0</v>
      </c>
      <c r="S8" s="690"/>
      <c r="T8" s="687"/>
      <c r="U8" s="687"/>
      <c r="V8" s="687"/>
      <c r="W8" s="687"/>
      <c r="X8" s="688"/>
      <c r="Y8" s="689">
        <f t="shared" ref="Y8:Y27" si="2">SUM(R8,X8)</f>
        <v>0</v>
      </c>
    </row>
    <row r="9" spans="2:25" ht="15" customHeight="1">
      <c r="B9" s="537">
        <v>3</v>
      </c>
      <c r="C9" s="538" t="s">
        <v>210</v>
      </c>
      <c r="D9" s="539"/>
      <c r="E9" s="683"/>
      <c r="F9" s="684"/>
      <c r="G9" s="683"/>
      <c r="H9" s="684"/>
      <c r="I9" s="683"/>
      <c r="J9" s="684"/>
      <c r="K9" s="683"/>
      <c r="L9" s="684"/>
      <c r="M9" s="683"/>
      <c r="N9" s="684"/>
      <c r="O9" s="683"/>
      <c r="P9" s="684"/>
      <c r="Q9" s="683">
        <f t="shared" si="1"/>
        <v>0</v>
      </c>
      <c r="R9" s="685">
        <f t="shared" si="0"/>
        <v>0</v>
      </c>
      <c r="S9" s="690"/>
      <c r="T9" s="687"/>
      <c r="U9" s="687"/>
      <c r="V9" s="687"/>
      <c r="W9" s="687"/>
      <c r="X9" s="688"/>
      <c r="Y9" s="689">
        <f t="shared" si="2"/>
        <v>0</v>
      </c>
    </row>
    <row r="10" spans="2:25" ht="15" customHeight="1">
      <c r="B10" s="537">
        <v>4</v>
      </c>
      <c r="C10" s="538" t="s">
        <v>211</v>
      </c>
      <c r="D10" s="539"/>
      <c r="E10" s="683"/>
      <c r="F10" s="684"/>
      <c r="G10" s="683"/>
      <c r="H10" s="684"/>
      <c r="I10" s="683"/>
      <c r="J10" s="684"/>
      <c r="K10" s="683"/>
      <c r="L10" s="684"/>
      <c r="M10" s="683"/>
      <c r="N10" s="684"/>
      <c r="O10" s="683"/>
      <c r="P10" s="684"/>
      <c r="Q10" s="683">
        <f t="shared" si="1"/>
        <v>0</v>
      </c>
      <c r="R10" s="685">
        <f t="shared" si="0"/>
        <v>0</v>
      </c>
      <c r="S10" s="690"/>
      <c r="T10" s="687"/>
      <c r="U10" s="687"/>
      <c r="V10" s="687"/>
      <c r="W10" s="687"/>
      <c r="X10" s="688"/>
      <c r="Y10" s="689">
        <f t="shared" si="2"/>
        <v>0</v>
      </c>
    </row>
    <row r="11" spans="2:25" ht="15" customHeight="1">
      <c r="B11" s="537">
        <v>5</v>
      </c>
      <c r="C11" s="538" t="s">
        <v>212</v>
      </c>
      <c r="D11" s="539"/>
      <c r="E11" s="683"/>
      <c r="F11" s="684"/>
      <c r="G11" s="683"/>
      <c r="H11" s="684"/>
      <c r="I11" s="683"/>
      <c r="J11" s="684"/>
      <c r="K11" s="683"/>
      <c r="L11" s="684"/>
      <c r="M11" s="683"/>
      <c r="N11" s="684"/>
      <c r="O11" s="683"/>
      <c r="P11" s="684"/>
      <c r="Q11" s="683">
        <f t="shared" si="1"/>
        <v>0</v>
      </c>
      <c r="R11" s="685">
        <f t="shared" si="0"/>
        <v>0</v>
      </c>
      <c r="S11" s="690"/>
      <c r="T11" s="687"/>
      <c r="U11" s="687"/>
      <c r="V11" s="687"/>
      <c r="W11" s="687"/>
      <c r="X11" s="688"/>
      <c r="Y11" s="689">
        <f t="shared" si="2"/>
        <v>0</v>
      </c>
    </row>
    <row r="12" spans="2:25" ht="15" customHeight="1">
      <c r="B12" s="537">
        <v>6</v>
      </c>
      <c r="C12" s="538" t="s">
        <v>213</v>
      </c>
      <c r="D12" s="539"/>
      <c r="E12" s="683"/>
      <c r="F12" s="684"/>
      <c r="G12" s="683"/>
      <c r="H12" s="684"/>
      <c r="I12" s="683"/>
      <c r="J12" s="684"/>
      <c r="K12" s="683"/>
      <c r="L12" s="684"/>
      <c r="M12" s="683"/>
      <c r="N12" s="684"/>
      <c r="O12" s="683"/>
      <c r="P12" s="684"/>
      <c r="Q12" s="683">
        <f t="shared" si="1"/>
        <v>0</v>
      </c>
      <c r="R12" s="685">
        <f t="shared" si="0"/>
        <v>0</v>
      </c>
      <c r="S12" s="690"/>
      <c r="T12" s="687"/>
      <c r="U12" s="687"/>
      <c r="V12" s="687"/>
      <c r="W12" s="687"/>
      <c r="X12" s="688"/>
      <c r="Y12" s="689">
        <f t="shared" si="2"/>
        <v>0</v>
      </c>
    </row>
    <row r="13" spans="2:25" ht="15" customHeight="1">
      <c r="B13" s="537">
        <v>7</v>
      </c>
      <c r="C13" s="538" t="s">
        <v>214</v>
      </c>
      <c r="D13" s="539"/>
      <c r="E13" s="683"/>
      <c r="F13" s="684"/>
      <c r="G13" s="683"/>
      <c r="H13" s="684"/>
      <c r="I13" s="683"/>
      <c r="J13" s="684"/>
      <c r="K13" s="683"/>
      <c r="L13" s="684"/>
      <c r="M13" s="683"/>
      <c r="N13" s="684"/>
      <c r="O13" s="683"/>
      <c r="P13" s="684"/>
      <c r="Q13" s="683">
        <f t="shared" si="1"/>
        <v>0</v>
      </c>
      <c r="R13" s="685">
        <f t="shared" si="0"/>
        <v>0</v>
      </c>
      <c r="S13" s="690"/>
      <c r="T13" s="687"/>
      <c r="U13" s="687"/>
      <c r="V13" s="687"/>
      <c r="W13" s="687"/>
      <c r="X13" s="688"/>
      <c r="Y13" s="689">
        <f t="shared" si="2"/>
        <v>0</v>
      </c>
    </row>
    <row r="14" spans="2:25" ht="15" customHeight="1">
      <c r="B14" s="537">
        <v>9</v>
      </c>
      <c r="C14" s="538" t="s">
        <v>166</v>
      </c>
      <c r="D14" s="539"/>
      <c r="E14" s="683"/>
      <c r="F14" s="684"/>
      <c r="G14" s="683"/>
      <c r="H14" s="684"/>
      <c r="I14" s="683"/>
      <c r="J14" s="684"/>
      <c r="K14" s="683"/>
      <c r="L14" s="684"/>
      <c r="M14" s="683"/>
      <c r="N14" s="684"/>
      <c r="O14" s="683"/>
      <c r="P14" s="684"/>
      <c r="Q14" s="683">
        <f t="shared" si="1"/>
        <v>0</v>
      </c>
      <c r="R14" s="685">
        <f t="shared" si="0"/>
        <v>0</v>
      </c>
      <c r="S14" s="690"/>
      <c r="T14" s="687"/>
      <c r="U14" s="687"/>
      <c r="V14" s="687"/>
      <c r="W14" s="687"/>
      <c r="X14" s="688"/>
      <c r="Y14" s="689">
        <f t="shared" si="2"/>
        <v>0</v>
      </c>
    </row>
    <row r="15" spans="2:25" ht="15" customHeight="1">
      <c r="B15" s="537">
        <v>18</v>
      </c>
      <c r="C15" s="538" t="s">
        <v>215</v>
      </c>
      <c r="D15" s="539"/>
      <c r="E15" s="683"/>
      <c r="F15" s="684"/>
      <c r="G15" s="683"/>
      <c r="H15" s="684"/>
      <c r="I15" s="683"/>
      <c r="J15" s="684"/>
      <c r="K15" s="683"/>
      <c r="L15" s="684"/>
      <c r="M15" s="683"/>
      <c r="N15" s="684"/>
      <c r="O15" s="683"/>
      <c r="P15" s="684"/>
      <c r="Q15" s="683">
        <f t="shared" si="1"/>
        <v>0</v>
      </c>
      <c r="R15" s="685">
        <f t="shared" si="0"/>
        <v>0</v>
      </c>
      <c r="S15" s="690"/>
      <c r="T15" s="687"/>
      <c r="U15" s="687"/>
      <c r="V15" s="687"/>
      <c r="W15" s="687"/>
      <c r="X15" s="688"/>
      <c r="Y15" s="689">
        <f t="shared" si="2"/>
        <v>0</v>
      </c>
    </row>
    <row r="16" spans="2:25" ht="15" customHeight="1">
      <c r="B16" s="537">
        <v>31</v>
      </c>
      <c r="C16" s="538" t="s">
        <v>216</v>
      </c>
      <c r="D16" s="539"/>
      <c r="E16" s="683"/>
      <c r="F16" s="684"/>
      <c r="G16" s="683"/>
      <c r="H16" s="684"/>
      <c r="I16" s="683"/>
      <c r="J16" s="684"/>
      <c r="K16" s="683"/>
      <c r="L16" s="684"/>
      <c r="M16" s="683"/>
      <c r="N16" s="684"/>
      <c r="O16" s="683"/>
      <c r="P16" s="684"/>
      <c r="Q16" s="683">
        <f t="shared" si="1"/>
        <v>0</v>
      </c>
      <c r="R16" s="685">
        <f t="shared" si="0"/>
        <v>0</v>
      </c>
      <c r="S16" s="690"/>
      <c r="T16" s="687"/>
      <c r="U16" s="687"/>
      <c r="V16" s="687"/>
      <c r="W16" s="687"/>
      <c r="X16" s="688"/>
      <c r="Y16" s="689">
        <f t="shared" si="2"/>
        <v>0</v>
      </c>
    </row>
    <row r="17" spans="2:25" ht="15" customHeight="1">
      <c r="B17" s="537">
        <v>32</v>
      </c>
      <c r="C17" s="538" t="s">
        <v>217</v>
      </c>
      <c r="D17" s="539"/>
      <c r="E17" s="683"/>
      <c r="F17" s="684"/>
      <c r="G17" s="683"/>
      <c r="H17" s="684"/>
      <c r="I17" s="683"/>
      <c r="J17" s="684"/>
      <c r="K17" s="683"/>
      <c r="L17" s="684"/>
      <c r="M17" s="683"/>
      <c r="N17" s="684"/>
      <c r="O17" s="683"/>
      <c r="P17" s="684"/>
      <c r="Q17" s="683">
        <f t="shared" si="1"/>
        <v>0</v>
      </c>
      <c r="R17" s="685">
        <f t="shared" si="0"/>
        <v>0</v>
      </c>
      <c r="S17" s="690"/>
      <c r="T17" s="687"/>
      <c r="U17" s="687"/>
      <c r="V17" s="687"/>
      <c r="W17" s="687"/>
      <c r="X17" s="688"/>
      <c r="Y17" s="689">
        <f t="shared" si="2"/>
        <v>0</v>
      </c>
    </row>
    <row r="18" spans="2:25" ht="15" customHeight="1">
      <c r="B18" s="537">
        <v>33</v>
      </c>
      <c r="C18" s="538" t="s">
        <v>218</v>
      </c>
      <c r="D18" s="539"/>
      <c r="E18" s="683"/>
      <c r="F18" s="684"/>
      <c r="G18" s="683"/>
      <c r="H18" s="684"/>
      <c r="I18" s="683"/>
      <c r="J18" s="684"/>
      <c r="K18" s="683"/>
      <c r="L18" s="684"/>
      <c r="M18" s="683"/>
      <c r="N18" s="684"/>
      <c r="O18" s="683"/>
      <c r="P18" s="684"/>
      <c r="Q18" s="683">
        <f t="shared" si="1"/>
        <v>0</v>
      </c>
      <c r="R18" s="685">
        <f t="shared" si="0"/>
        <v>0</v>
      </c>
      <c r="S18" s="690"/>
      <c r="T18" s="687"/>
      <c r="U18" s="687"/>
      <c r="V18" s="687"/>
      <c r="W18" s="687"/>
      <c r="X18" s="688"/>
      <c r="Y18" s="689">
        <f t="shared" si="2"/>
        <v>0</v>
      </c>
    </row>
    <row r="19" spans="2:25" ht="15" customHeight="1">
      <c r="B19" s="537">
        <v>34</v>
      </c>
      <c r="C19" s="538" t="s">
        <v>219</v>
      </c>
      <c r="D19" s="539"/>
      <c r="E19" s="683"/>
      <c r="F19" s="684"/>
      <c r="G19" s="683"/>
      <c r="H19" s="684"/>
      <c r="I19" s="683"/>
      <c r="J19" s="684"/>
      <c r="K19" s="683"/>
      <c r="L19" s="684"/>
      <c r="M19" s="683"/>
      <c r="N19" s="684"/>
      <c r="O19" s="683"/>
      <c r="P19" s="684"/>
      <c r="Q19" s="683">
        <f t="shared" si="1"/>
        <v>0</v>
      </c>
      <c r="R19" s="685">
        <f t="shared" si="0"/>
        <v>0</v>
      </c>
      <c r="S19" s="690"/>
      <c r="T19" s="687"/>
      <c r="U19" s="687"/>
      <c r="V19" s="687"/>
      <c r="W19" s="687"/>
      <c r="X19" s="688"/>
      <c r="Y19" s="689">
        <f t="shared" si="2"/>
        <v>0</v>
      </c>
    </row>
    <row r="20" spans="2:25" ht="15" customHeight="1">
      <c r="B20" s="537">
        <v>35</v>
      </c>
      <c r="C20" s="538" t="s">
        <v>220</v>
      </c>
      <c r="D20" s="539"/>
      <c r="E20" s="683"/>
      <c r="F20" s="684"/>
      <c r="G20" s="683"/>
      <c r="H20" s="684"/>
      <c r="I20" s="683"/>
      <c r="J20" s="684"/>
      <c r="K20" s="683"/>
      <c r="L20" s="684"/>
      <c r="M20" s="683"/>
      <c r="N20" s="684"/>
      <c r="O20" s="683"/>
      <c r="P20" s="684"/>
      <c r="Q20" s="683">
        <f t="shared" si="1"/>
        <v>0</v>
      </c>
      <c r="R20" s="685">
        <f t="shared" si="0"/>
        <v>0</v>
      </c>
      <c r="S20" s="690"/>
      <c r="T20" s="687"/>
      <c r="U20" s="687"/>
      <c r="V20" s="687"/>
      <c r="W20" s="687"/>
      <c r="X20" s="688"/>
      <c r="Y20" s="689">
        <f t="shared" si="2"/>
        <v>0</v>
      </c>
    </row>
    <row r="21" spans="2:25" ht="15" customHeight="1">
      <c r="B21" s="537">
        <v>36</v>
      </c>
      <c r="C21" s="731" t="s">
        <v>221</v>
      </c>
      <c r="D21" s="539"/>
      <c r="E21" s="683"/>
      <c r="F21" s="684"/>
      <c r="G21" s="683"/>
      <c r="H21" s="684"/>
      <c r="I21" s="683"/>
      <c r="J21" s="684"/>
      <c r="K21" s="683"/>
      <c r="L21" s="684"/>
      <c r="M21" s="683"/>
      <c r="N21" s="684"/>
      <c r="O21" s="683"/>
      <c r="P21" s="684"/>
      <c r="Q21" s="683">
        <f t="shared" si="1"/>
        <v>0</v>
      </c>
      <c r="R21" s="685">
        <f t="shared" si="0"/>
        <v>0</v>
      </c>
      <c r="S21" s="690"/>
      <c r="T21" s="687"/>
      <c r="U21" s="687"/>
      <c r="V21" s="687"/>
      <c r="W21" s="687"/>
      <c r="X21" s="688"/>
      <c r="Y21" s="689">
        <f t="shared" si="2"/>
        <v>0</v>
      </c>
    </row>
    <row r="22" spans="2:25" ht="15" customHeight="1">
      <c r="B22" s="537">
        <v>41</v>
      </c>
      <c r="C22" s="538" t="s">
        <v>222</v>
      </c>
      <c r="D22" s="539"/>
      <c r="E22" s="683"/>
      <c r="F22" s="684"/>
      <c r="G22" s="683"/>
      <c r="H22" s="684"/>
      <c r="I22" s="683"/>
      <c r="J22" s="684"/>
      <c r="K22" s="683"/>
      <c r="L22" s="684"/>
      <c r="M22" s="683"/>
      <c r="N22" s="684"/>
      <c r="O22" s="683"/>
      <c r="P22" s="684"/>
      <c r="Q22" s="683">
        <f t="shared" si="1"/>
        <v>0</v>
      </c>
      <c r="R22" s="685">
        <f t="shared" si="0"/>
        <v>0</v>
      </c>
      <c r="S22" s="690"/>
      <c r="T22" s="687"/>
      <c r="U22" s="687"/>
      <c r="V22" s="687"/>
      <c r="W22" s="687"/>
      <c r="X22" s="688"/>
      <c r="Y22" s="689">
        <f t="shared" si="2"/>
        <v>0</v>
      </c>
    </row>
    <row r="23" spans="2:25" ht="15" customHeight="1">
      <c r="B23" s="537">
        <v>42</v>
      </c>
      <c r="C23" s="731" t="s">
        <v>223</v>
      </c>
      <c r="D23" s="539"/>
      <c r="E23" s="683"/>
      <c r="F23" s="684"/>
      <c r="G23" s="683"/>
      <c r="H23" s="684"/>
      <c r="I23" s="683"/>
      <c r="J23" s="684"/>
      <c r="K23" s="683"/>
      <c r="L23" s="684"/>
      <c r="M23" s="683"/>
      <c r="N23" s="684"/>
      <c r="O23" s="683"/>
      <c r="P23" s="684"/>
      <c r="Q23" s="683">
        <f t="shared" si="1"/>
        <v>0</v>
      </c>
      <c r="R23" s="685">
        <f t="shared" si="0"/>
        <v>0</v>
      </c>
      <c r="S23" s="690"/>
      <c r="T23" s="687"/>
      <c r="U23" s="687"/>
      <c r="V23" s="687"/>
      <c r="W23" s="687"/>
      <c r="X23" s="688"/>
      <c r="Y23" s="689">
        <f t="shared" si="2"/>
        <v>0</v>
      </c>
    </row>
    <row r="24" spans="2:25" ht="15" customHeight="1">
      <c r="B24" s="537">
        <v>43</v>
      </c>
      <c r="C24" s="538" t="s">
        <v>224</v>
      </c>
      <c r="D24" s="539"/>
      <c r="E24" s="683"/>
      <c r="F24" s="684"/>
      <c r="G24" s="683"/>
      <c r="H24" s="684"/>
      <c r="I24" s="683"/>
      <c r="J24" s="684"/>
      <c r="K24" s="683"/>
      <c r="L24" s="684"/>
      <c r="M24" s="683"/>
      <c r="N24" s="684"/>
      <c r="O24" s="683"/>
      <c r="P24" s="684"/>
      <c r="Q24" s="683">
        <f t="shared" si="1"/>
        <v>0</v>
      </c>
      <c r="R24" s="685">
        <f t="shared" si="0"/>
        <v>0</v>
      </c>
      <c r="S24" s="690"/>
      <c r="T24" s="687"/>
      <c r="U24" s="687"/>
      <c r="V24" s="687"/>
      <c r="W24" s="687"/>
      <c r="X24" s="688"/>
      <c r="Y24" s="689">
        <f t="shared" si="2"/>
        <v>0</v>
      </c>
    </row>
    <row r="25" spans="2:25" ht="15" customHeight="1">
      <c r="B25" s="537">
        <v>44</v>
      </c>
      <c r="C25" s="538" t="s">
        <v>225</v>
      </c>
      <c r="D25" s="539"/>
      <c r="E25" s="683"/>
      <c r="F25" s="684"/>
      <c r="G25" s="683"/>
      <c r="H25" s="684"/>
      <c r="I25" s="683"/>
      <c r="J25" s="684"/>
      <c r="K25" s="683"/>
      <c r="L25" s="684"/>
      <c r="M25" s="683"/>
      <c r="N25" s="684"/>
      <c r="O25" s="683"/>
      <c r="P25" s="684"/>
      <c r="Q25" s="683">
        <f t="shared" si="1"/>
        <v>0</v>
      </c>
      <c r="R25" s="685">
        <f t="shared" si="0"/>
        <v>0</v>
      </c>
      <c r="S25" s="690"/>
      <c r="T25" s="687"/>
      <c r="U25" s="687"/>
      <c r="V25" s="687"/>
      <c r="W25" s="687"/>
      <c r="X25" s="688"/>
      <c r="Y25" s="689">
        <f t="shared" si="2"/>
        <v>0</v>
      </c>
    </row>
    <row r="26" spans="2:25" ht="15" customHeight="1">
      <c r="B26" s="540">
        <v>45</v>
      </c>
      <c r="C26" s="541" t="s">
        <v>226</v>
      </c>
      <c r="D26" s="542"/>
      <c r="E26" s="691"/>
      <c r="F26" s="692"/>
      <c r="G26" s="691"/>
      <c r="H26" s="692"/>
      <c r="I26" s="691"/>
      <c r="J26" s="692"/>
      <c r="K26" s="691"/>
      <c r="L26" s="692"/>
      <c r="M26" s="691"/>
      <c r="N26" s="692"/>
      <c r="O26" s="691"/>
      <c r="P26" s="692"/>
      <c r="Q26" s="691">
        <f t="shared" si="1"/>
        <v>0</v>
      </c>
      <c r="R26" s="693">
        <f t="shared" si="0"/>
        <v>0</v>
      </c>
      <c r="S26" s="690"/>
      <c r="T26" s="687"/>
      <c r="U26" s="687"/>
      <c r="V26" s="687"/>
      <c r="W26" s="687"/>
      <c r="X26" s="688"/>
      <c r="Y26" s="689">
        <f t="shared" si="2"/>
        <v>0</v>
      </c>
    </row>
    <row r="27" spans="2:25" ht="15" customHeight="1">
      <c r="B27" s="543">
        <v>51</v>
      </c>
      <c r="C27" s="544" t="s">
        <v>227</v>
      </c>
      <c r="D27" s="542"/>
      <c r="E27" s="691"/>
      <c r="F27" s="692"/>
      <c r="G27" s="691"/>
      <c r="H27" s="692"/>
      <c r="I27" s="691"/>
      <c r="J27" s="692"/>
      <c r="K27" s="691"/>
      <c r="L27" s="692"/>
      <c r="M27" s="691"/>
      <c r="N27" s="692"/>
      <c r="O27" s="691"/>
      <c r="P27" s="692"/>
      <c r="Q27" s="691">
        <f>SUM(E27,G27,I27,K27,M27,O27)</f>
        <v>0</v>
      </c>
      <c r="R27" s="693">
        <f>SUM(F27,H27,J27,L27,N27,P27)</f>
        <v>0</v>
      </c>
      <c r="S27" s="686"/>
      <c r="T27" s="687"/>
      <c r="U27" s="687"/>
      <c r="V27" s="687"/>
      <c r="W27" s="687"/>
      <c r="X27" s="694"/>
      <c r="Y27" s="689">
        <f t="shared" si="2"/>
        <v>0</v>
      </c>
    </row>
    <row r="28" spans="2:25" ht="15" customHeight="1">
      <c r="B28" s="545"/>
      <c r="C28" s="546" t="s">
        <v>228</v>
      </c>
      <c r="D28" s="547"/>
      <c r="E28" s="695">
        <f>SUM(E6:E27)</f>
        <v>0</v>
      </c>
      <c r="F28" s="696">
        <f t="shared" ref="F28:Q28" si="3">SUM(F6:F27)</f>
        <v>0</v>
      </c>
      <c r="G28" s="695">
        <f t="shared" si="3"/>
        <v>0</v>
      </c>
      <c r="H28" s="696">
        <f t="shared" si="3"/>
        <v>0</v>
      </c>
      <c r="I28" s="695">
        <f t="shared" si="3"/>
        <v>0</v>
      </c>
      <c r="J28" s="696">
        <f t="shared" si="3"/>
        <v>0</v>
      </c>
      <c r="K28" s="695">
        <f t="shared" si="3"/>
        <v>0</v>
      </c>
      <c r="L28" s="696">
        <f t="shared" si="3"/>
        <v>0</v>
      </c>
      <c r="M28" s="695">
        <f t="shared" si="3"/>
        <v>0</v>
      </c>
      <c r="N28" s="696">
        <f t="shared" si="3"/>
        <v>0</v>
      </c>
      <c r="O28" s="695">
        <f t="shared" si="3"/>
        <v>0</v>
      </c>
      <c r="P28" s="696">
        <f t="shared" si="3"/>
        <v>0</v>
      </c>
      <c r="Q28" s="695">
        <f t="shared" si="3"/>
        <v>0</v>
      </c>
      <c r="R28" s="696">
        <f>SUM(R6:R27)</f>
        <v>0</v>
      </c>
      <c r="S28" s="697"/>
      <c r="T28" s="687"/>
      <c r="U28" s="687"/>
      <c r="V28" s="687"/>
      <c r="W28" s="687"/>
      <c r="X28" s="698">
        <f>SUM(X6:X27)</f>
        <v>0</v>
      </c>
      <c r="Y28" s="698">
        <f>SUM(Y6:Y27)</f>
        <v>0</v>
      </c>
    </row>
    <row r="29" spans="2:25" ht="15" customHeight="1">
      <c r="B29" s="548"/>
      <c r="C29" s="533" t="s">
        <v>229</v>
      </c>
      <c r="D29" s="534"/>
      <c r="E29" s="699"/>
      <c r="F29" s="700"/>
      <c r="G29" s="699"/>
      <c r="H29" s="700"/>
      <c r="I29" s="699"/>
      <c r="J29" s="700"/>
      <c r="K29" s="699"/>
      <c r="L29" s="700"/>
      <c r="M29" s="699"/>
      <c r="N29" s="700"/>
      <c r="O29" s="699"/>
      <c r="P29" s="700"/>
      <c r="Q29" s="699"/>
      <c r="R29" s="701"/>
      <c r="S29" s="690"/>
      <c r="T29" s="687"/>
      <c r="U29" s="687"/>
      <c r="V29" s="687"/>
      <c r="W29" s="687"/>
      <c r="X29" s="702"/>
      <c r="Y29" s="703"/>
    </row>
    <row r="30" spans="2:25" ht="15" customHeight="1">
      <c r="B30" s="537">
        <v>1</v>
      </c>
      <c r="C30" s="538" t="s">
        <v>230</v>
      </c>
      <c r="D30" s="539"/>
      <c r="E30" s="683"/>
      <c r="F30" s="684"/>
      <c r="G30" s="683"/>
      <c r="H30" s="684"/>
      <c r="I30" s="683"/>
      <c r="J30" s="684"/>
      <c r="K30" s="683"/>
      <c r="L30" s="684"/>
      <c r="M30" s="683"/>
      <c r="N30" s="684"/>
      <c r="O30" s="683"/>
      <c r="P30" s="684"/>
      <c r="Q30" s="683">
        <f t="shared" ref="Q30:R39" si="4">SUM(E30,G30,I30,K30,M30,O30)</f>
        <v>0</v>
      </c>
      <c r="R30" s="685">
        <f t="shared" si="4"/>
        <v>0</v>
      </c>
      <c r="S30" s="690"/>
      <c r="T30" s="687"/>
      <c r="U30" s="687"/>
      <c r="V30" s="687"/>
      <c r="W30" s="687"/>
      <c r="X30" s="688"/>
      <c r="Y30" s="689">
        <f t="shared" ref="Y30:Y39" si="5">SUM(R30,X30)</f>
        <v>0</v>
      </c>
    </row>
    <row r="31" spans="2:25" ht="15" customHeight="1">
      <c r="B31" s="537">
        <v>2</v>
      </c>
      <c r="C31" s="538" t="s">
        <v>209</v>
      </c>
      <c r="D31" s="539"/>
      <c r="E31" s="683"/>
      <c r="F31" s="684"/>
      <c r="G31" s="683"/>
      <c r="H31" s="684"/>
      <c r="I31" s="683"/>
      <c r="J31" s="684"/>
      <c r="K31" s="683"/>
      <c r="L31" s="684"/>
      <c r="M31" s="683"/>
      <c r="N31" s="684"/>
      <c r="O31" s="683"/>
      <c r="P31" s="684"/>
      <c r="Q31" s="683">
        <f t="shared" si="4"/>
        <v>0</v>
      </c>
      <c r="R31" s="685">
        <f t="shared" si="4"/>
        <v>0</v>
      </c>
      <c r="S31" s="690"/>
      <c r="T31" s="687"/>
      <c r="U31" s="687"/>
      <c r="V31" s="687"/>
      <c r="W31" s="687"/>
      <c r="X31" s="688"/>
      <c r="Y31" s="689">
        <f t="shared" si="5"/>
        <v>0</v>
      </c>
    </row>
    <row r="32" spans="2:25" ht="15" customHeight="1">
      <c r="B32" s="537">
        <v>3</v>
      </c>
      <c r="C32" s="538" t="s">
        <v>231</v>
      </c>
      <c r="D32" s="539"/>
      <c r="E32" s="683"/>
      <c r="F32" s="684"/>
      <c r="G32" s="683"/>
      <c r="H32" s="684"/>
      <c r="I32" s="683"/>
      <c r="J32" s="684"/>
      <c r="K32" s="683"/>
      <c r="L32" s="684"/>
      <c r="M32" s="683"/>
      <c r="N32" s="684"/>
      <c r="O32" s="683"/>
      <c r="P32" s="684"/>
      <c r="Q32" s="683">
        <f t="shared" si="4"/>
        <v>0</v>
      </c>
      <c r="R32" s="685">
        <f t="shared" si="4"/>
        <v>0</v>
      </c>
      <c r="S32" s="690"/>
      <c r="T32" s="687"/>
      <c r="U32" s="687"/>
      <c r="V32" s="687"/>
      <c r="W32" s="687"/>
      <c r="X32" s="688"/>
      <c r="Y32" s="689">
        <f t="shared" si="5"/>
        <v>0</v>
      </c>
    </row>
    <row r="33" spans="2:25" ht="15" customHeight="1">
      <c r="B33" s="537">
        <v>4</v>
      </c>
      <c r="C33" s="538" t="s">
        <v>232</v>
      </c>
      <c r="D33" s="539"/>
      <c r="E33" s="683"/>
      <c r="F33" s="684"/>
      <c r="G33" s="683"/>
      <c r="H33" s="684"/>
      <c r="I33" s="683"/>
      <c r="J33" s="684"/>
      <c r="K33" s="683"/>
      <c r="L33" s="684"/>
      <c r="M33" s="683"/>
      <c r="N33" s="684"/>
      <c r="O33" s="683"/>
      <c r="P33" s="684"/>
      <c r="Q33" s="683">
        <f t="shared" si="4"/>
        <v>0</v>
      </c>
      <c r="R33" s="685">
        <f t="shared" si="4"/>
        <v>0</v>
      </c>
      <c r="S33" s="690"/>
      <c r="T33" s="687"/>
      <c r="U33" s="687"/>
      <c r="V33" s="687"/>
      <c r="W33" s="687"/>
      <c r="X33" s="688"/>
      <c r="Y33" s="689">
        <f t="shared" si="5"/>
        <v>0</v>
      </c>
    </row>
    <row r="34" spans="2:25" ht="15" customHeight="1">
      <c r="B34" s="537">
        <v>5</v>
      </c>
      <c r="C34" s="538" t="s">
        <v>233</v>
      </c>
      <c r="D34" s="539"/>
      <c r="E34" s="683"/>
      <c r="F34" s="684"/>
      <c r="G34" s="683"/>
      <c r="H34" s="684"/>
      <c r="I34" s="683"/>
      <c r="J34" s="684"/>
      <c r="K34" s="683"/>
      <c r="L34" s="684"/>
      <c r="M34" s="683"/>
      <c r="N34" s="684"/>
      <c r="O34" s="683"/>
      <c r="P34" s="684"/>
      <c r="Q34" s="683">
        <f t="shared" si="4"/>
        <v>0</v>
      </c>
      <c r="R34" s="685">
        <f t="shared" si="4"/>
        <v>0</v>
      </c>
      <c r="S34" s="690"/>
      <c r="T34" s="687"/>
      <c r="U34" s="687"/>
      <c r="V34" s="687"/>
      <c r="W34" s="687"/>
      <c r="X34" s="688"/>
      <c r="Y34" s="689">
        <f t="shared" si="5"/>
        <v>0</v>
      </c>
    </row>
    <row r="35" spans="2:25" ht="15" customHeight="1">
      <c r="B35" s="537">
        <v>6</v>
      </c>
      <c r="C35" s="538" t="s">
        <v>166</v>
      </c>
      <c r="D35" s="539"/>
      <c r="E35" s="683"/>
      <c r="F35" s="684"/>
      <c r="G35" s="683"/>
      <c r="H35" s="684"/>
      <c r="I35" s="683"/>
      <c r="J35" s="684"/>
      <c r="K35" s="683"/>
      <c r="L35" s="684"/>
      <c r="M35" s="683"/>
      <c r="N35" s="684"/>
      <c r="O35" s="683"/>
      <c r="P35" s="684"/>
      <c r="Q35" s="683">
        <f t="shared" si="4"/>
        <v>0</v>
      </c>
      <c r="R35" s="685">
        <f t="shared" si="4"/>
        <v>0</v>
      </c>
      <c r="S35" s="686"/>
      <c r="T35" s="687"/>
      <c r="U35" s="687"/>
      <c r="V35" s="687"/>
      <c r="W35" s="687"/>
      <c r="X35" s="688"/>
      <c r="Y35" s="689">
        <f t="shared" si="5"/>
        <v>0</v>
      </c>
    </row>
    <row r="36" spans="2:25" ht="15" customHeight="1">
      <c r="B36" s="537">
        <v>36</v>
      </c>
      <c r="C36" s="731" t="s">
        <v>234</v>
      </c>
      <c r="D36" s="539"/>
      <c r="E36" s="683"/>
      <c r="F36" s="684"/>
      <c r="G36" s="683"/>
      <c r="H36" s="684"/>
      <c r="I36" s="683"/>
      <c r="J36" s="684"/>
      <c r="K36" s="683"/>
      <c r="L36" s="684"/>
      <c r="M36" s="683"/>
      <c r="N36" s="684"/>
      <c r="O36" s="683"/>
      <c r="P36" s="684"/>
      <c r="Q36" s="683">
        <f t="shared" si="4"/>
        <v>0</v>
      </c>
      <c r="R36" s="685">
        <f t="shared" si="4"/>
        <v>0</v>
      </c>
      <c r="S36" s="690"/>
      <c r="T36" s="687"/>
      <c r="U36" s="687"/>
      <c r="V36" s="687"/>
      <c r="W36" s="687"/>
      <c r="X36" s="688"/>
      <c r="Y36" s="689">
        <f t="shared" si="5"/>
        <v>0</v>
      </c>
    </row>
    <row r="37" spans="2:25" ht="15" customHeight="1">
      <c r="B37" s="537">
        <v>43</v>
      </c>
      <c r="C37" s="538" t="s">
        <v>235</v>
      </c>
      <c r="D37" s="539"/>
      <c r="E37" s="683"/>
      <c r="F37" s="684"/>
      <c r="G37" s="683"/>
      <c r="H37" s="684"/>
      <c r="I37" s="683"/>
      <c r="J37" s="684"/>
      <c r="K37" s="683"/>
      <c r="L37" s="684"/>
      <c r="M37" s="683"/>
      <c r="N37" s="684"/>
      <c r="O37" s="683"/>
      <c r="P37" s="684"/>
      <c r="Q37" s="683">
        <f t="shared" si="4"/>
        <v>0</v>
      </c>
      <c r="R37" s="685">
        <f t="shared" si="4"/>
        <v>0</v>
      </c>
      <c r="S37" s="686"/>
      <c r="T37" s="687"/>
      <c r="U37" s="687"/>
      <c r="V37" s="687"/>
      <c r="W37" s="687"/>
      <c r="X37" s="688"/>
      <c r="Y37" s="689">
        <f t="shared" si="5"/>
        <v>0</v>
      </c>
    </row>
    <row r="38" spans="2:25" ht="15" customHeight="1">
      <c r="B38" s="537">
        <v>44</v>
      </c>
      <c r="C38" s="538" t="s">
        <v>225</v>
      </c>
      <c r="D38" s="539"/>
      <c r="E38" s="683"/>
      <c r="F38" s="684"/>
      <c r="G38" s="683"/>
      <c r="H38" s="684"/>
      <c r="I38" s="683"/>
      <c r="J38" s="684"/>
      <c r="K38" s="683"/>
      <c r="L38" s="684"/>
      <c r="M38" s="683"/>
      <c r="N38" s="684"/>
      <c r="O38" s="683"/>
      <c r="P38" s="684"/>
      <c r="Q38" s="683">
        <f t="shared" si="4"/>
        <v>0</v>
      </c>
      <c r="R38" s="685">
        <f t="shared" si="4"/>
        <v>0</v>
      </c>
      <c r="S38" s="690"/>
      <c r="T38" s="687"/>
      <c r="U38" s="687"/>
      <c r="V38" s="687"/>
      <c r="W38" s="687"/>
      <c r="X38" s="688"/>
      <c r="Y38" s="689">
        <f t="shared" si="5"/>
        <v>0</v>
      </c>
    </row>
    <row r="39" spans="2:25" ht="15" customHeight="1">
      <c r="B39" s="540">
        <v>45</v>
      </c>
      <c r="C39" s="541" t="s">
        <v>226</v>
      </c>
      <c r="D39" s="542"/>
      <c r="E39" s="691"/>
      <c r="F39" s="692"/>
      <c r="G39" s="691"/>
      <c r="H39" s="692"/>
      <c r="I39" s="691"/>
      <c r="J39" s="692"/>
      <c r="K39" s="691"/>
      <c r="L39" s="692"/>
      <c r="M39" s="691"/>
      <c r="N39" s="692"/>
      <c r="O39" s="691"/>
      <c r="P39" s="692"/>
      <c r="Q39" s="691">
        <f t="shared" si="4"/>
        <v>0</v>
      </c>
      <c r="R39" s="693">
        <f t="shared" si="4"/>
        <v>0</v>
      </c>
      <c r="S39" s="690"/>
      <c r="T39" s="687"/>
      <c r="U39" s="687"/>
      <c r="V39" s="687"/>
      <c r="W39" s="687"/>
      <c r="X39" s="694"/>
      <c r="Y39" s="689">
        <f t="shared" si="5"/>
        <v>0</v>
      </c>
    </row>
    <row r="40" spans="2:25" ht="15" customHeight="1">
      <c r="B40" s="545"/>
      <c r="C40" s="546" t="s">
        <v>228</v>
      </c>
      <c r="D40" s="547"/>
      <c r="E40" s="695">
        <f t="shared" ref="E40:R40" si="6">SUM(E29:E39)</f>
        <v>0</v>
      </c>
      <c r="F40" s="704">
        <f t="shared" si="6"/>
        <v>0</v>
      </c>
      <c r="G40" s="695">
        <f t="shared" si="6"/>
        <v>0</v>
      </c>
      <c r="H40" s="704">
        <f t="shared" si="6"/>
        <v>0</v>
      </c>
      <c r="I40" s="695">
        <f t="shared" si="6"/>
        <v>0</v>
      </c>
      <c r="J40" s="704">
        <f t="shared" si="6"/>
        <v>0</v>
      </c>
      <c r="K40" s="695">
        <f t="shared" si="6"/>
        <v>0</v>
      </c>
      <c r="L40" s="704">
        <f t="shared" si="6"/>
        <v>0</v>
      </c>
      <c r="M40" s="695">
        <f t="shared" si="6"/>
        <v>0</v>
      </c>
      <c r="N40" s="696">
        <f t="shared" si="6"/>
        <v>0</v>
      </c>
      <c r="O40" s="695">
        <f t="shared" si="6"/>
        <v>0</v>
      </c>
      <c r="P40" s="696">
        <f t="shared" si="6"/>
        <v>0</v>
      </c>
      <c r="Q40" s="695">
        <f>SUM(Q30:Q39)</f>
        <v>0</v>
      </c>
      <c r="R40" s="696">
        <f t="shared" si="6"/>
        <v>0</v>
      </c>
      <c r="S40" s="705"/>
      <c r="T40" s="706"/>
      <c r="U40" s="706"/>
      <c r="V40" s="706"/>
      <c r="W40" s="706"/>
      <c r="X40" s="698">
        <f>SUM(X30:X39)</f>
        <v>0</v>
      </c>
      <c r="Y40" s="707">
        <f t="shared" ref="Y40" si="7">SUM(Y29:Y39)</f>
        <v>0</v>
      </c>
    </row>
    <row r="41" spans="2:25" ht="15" customHeight="1">
      <c r="N41" s="549"/>
      <c r="P41" s="549"/>
    </row>
    <row r="42" spans="2:25" ht="15" customHeight="1"/>
    <row r="43" spans="2:25" ht="15" customHeight="1"/>
    <row r="44" spans="2:25" ht="15" customHeight="1"/>
  </sheetData>
  <sheetProtection algorithmName="SHA-512" hashValue="1kwXwGCuczsfRBeRrypeKgm2euNUNLML8W88j7kReA+/cUOrX4LamSdKGOqYY1XAClUehSl57E7JqFTRc15Ksw==" saltValue="CKD0V42rLrDgKLfPs48nSA==" spinCount="100000" sheet="1" objects="1" scenarios="1"/>
  <mergeCells count="9">
    <mergeCell ref="S4:W4"/>
    <mergeCell ref="B4:D5"/>
    <mergeCell ref="E4:F4"/>
    <mergeCell ref="G4:H4"/>
    <mergeCell ref="I4:J4"/>
    <mergeCell ref="K4:L4"/>
    <mergeCell ref="M4:N4"/>
    <mergeCell ref="O4:P4"/>
    <mergeCell ref="Q4:R4"/>
  </mergeCells>
  <phoneticPr fontId="3"/>
  <printOptions horizontalCentered="1"/>
  <pageMargins left="0" right="0" top="0.19685039370078741" bottom="0" header="0.51181102362204722" footer="0.51181102362204722"/>
  <pageSetup paperSize="9" scale="78" orientation="landscape" horizontalDpi="4294967292"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6D30B-4C08-4D2D-9902-9A42BD703CA1}">
  <sheetPr codeName="Sheet9">
    <pageSetUpPr fitToPage="1"/>
  </sheetPr>
  <dimension ref="A2:O60"/>
  <sheetViews>
    <sheetView showGridLines="0" workbookViewId="0"/>
  </sheetViews>
  <sheetFormatPr defaultColWidth="9" defaultRowHeight="15" customHeight="1"/>
  <cols>
    <col min="1" max="1" width="1.44140625" style="550" customWidth="1"/>
    <col min="2" max="2" width="9.33203125" style="550" customWidth="1"/>
    <col min="3" max="3" width="11.88671875" style="550" customWidth="1"/>
    <col min="4" max="4" width="12.88671875" style="550" customWidth="1"/>
    <col min="5" max="5" width="4.6640625" style="550" customWidth="1"/>
    <col min="6" max="6" width="7.109375" style="550" customWidth="1"/>
    <col min="7" max="7" width="9.33203125" style="550" customWidth="1"/>
    <col min="8" max="8" width="22.44140625" style="550" customWidth="1"/>
    <col min="9" max="10" width="10.21875" style="553" customWidth="1"/>
    <col min="11" max="11" width="12.88671875" style="554" customWidth="1"/>
    <col min="12" max="12" width="9.109375" style="550" bestFit="1" customWidth="1"/>
    <col min="13" max="13" width="10.21875" style="550" bestFit="1" customWidth="1"/>
    <col min="14" max="15" width="11.21875" style="550" customWidth="1"/>
    <col min="16" max="16384" width="9" style="550"/>
  </cols>
  <sheetData>
    <row r="2" spans="1:15" ht="15" customHeight="1">
      <c r="B2" s="91" t="str">
        <f>"第"&amp;基本情報!C11&amp;"期"</f>
        <v>第期</v>
      </c>
      <c r="C2" s="273" t="e">
        <f>LEFT(基本情報!C13,4) &amp; "年" &amp; MID(基本情報!C13,5,2) &amp; "月～" &amp; LEFT(基本情報!C18,4) &amp; "年" &amp; MID(基本情報!C18,5,2) &amp; "月"</f>
        <v>#VALUE!</v>
      </c>
      <c r="D2" s="584"/>
      <c r="E2" s="551"/>
      <c r="F2" s="552" t="s">
        <v>276</v>
      </c>
      <c r="I2" s="550"/>
    </row>
    <row r="3" spans="1:15" ht="15" customHeight="1">
      <c r="B3" s="584"/>
      <c r="C3" s="584"/>
      <c r="D3" s="584"/>
    </row>
    <row r="4" spans="1:15" s="553" customFormat="1" ht="15" customHeight="1">
      <c r="B4" s="585" t="s">
        <v>111</v>
      </c>
      <c r="C4" s="586">
        <f>基本情報!C4</f>
        <v>0</v>
      </c>
      <c r="D4" s="586">
        <f>基本情報!C6</f>
        <v>0</v>
      </c>
      <c r="G4" s="555" t="s">
        <v>236</v>
      </c>
      <c r="H4" s="556" t="s">
        <v>237</v>
      </c>
      <c r="I4" s="556" t="s">
        <v>238</v>
      </c>
      <c r="J4" s="556" t="s">
        <v>239</v>
      </c>
      <c r="K4" s="557" t="s">
        <v>240</v>
      </c>
      <c r="L4" s="558" t="s">
        <v>244</v>
      </c>
      <c r="M4" s="553" t="s">
        <v>245</v>
      </c>
      <c r="N4" s="553" t="s">
        <v>246</v>
      </c>
      <c r="O4" s="559" t="s">
        <v>247</v>
      </c>
    </row>
    <row r="5" spans="1:15" ht="15" customHeight="1">
      <c r="B5" s="584"/>
      <c r="C5" s="584"/>
      <c r="D5" s="957" t="str">
        <f>基本情報!C8&amp;"・"&amp;基本情報!C7</f>
        <v>・</v>
      </c>
      <c r="E5" s="957"/>
      <c r="F5" s="958"/>
      <c r="G5" s="560"/>
      <c r="H5" s="561"/>
      <c r="I5" s="562"/>
      <c r="J5" s="562"/>
      <c r="K5" s="563"/>
      <c r="L5" s="550">
        <v>27</v>
      </c>
      <c r="M5" s="564">
        <v>323000</v>
      </c>
      <c r="N5" s="565">
        <f>L5*M5</f>
        <v>8721000</v>
      </c>
      <c r="O5" s="565">
        <f>N5/2</f>
        <v>4360500</v>
      </c>
    </row>
    <row r="6" spans="1:15" ht="15" customHeight="1">
      <c r="G6" s="566"/>
      <c r="H6" s="567"/>
      <c r="I6" s="568"/>
      <c r="J6" s="568"/>
      <c r="K6" s="569"/>
      <c r="L6" s="550">
        <v>15</v>
      </c>
      <c r="M6" s="570">
        <v>483250</v>
      </c>
      <c r="N6" s="565">
        <f t="shared" ref="N6:N27" si="0">L6*M6</f>
        <v>7248750</v>
      </c>
    </row>
    <row r="7" spans="1:15" ht="15" customHeight="1">
      <c r="A7" s="553"/>
      <c r="B7" s="587" t="s">
        <v>241</v>
      </c>
      <c r="C7" s="588" t="s">
        <v>242</v>
      </c>
      <c r="D7" s="589" t="s">
        <v>243</v>
      </c>
      <c r="G7" s="571"/>
      <c r="H7" s="572"/>
      <c r="I7" s="573"/>
      <c r="J7" s="573"/>
      <c r="K7" s="574"/>
      <c r="L7" s="550">
        <v>36</v>
      </c>
      <c r="M7" s="564">
        <v>397000</v>
      </c>
      <c r="N7" s="565">
        <f t="shared" si="0"/>
        <v>14292000</v>
      </c>
      <c r="O7" s="565">
        <f t="shared" ref="O7:O21" si="1">N7/2</f>
        <v>7146000</v>
      </c>
    </row>
    <row r="8" spans="1:15" ht="15" customHeight="1">
      <c r="B8" s="584"/>
      <c r="C8" s="590">
        <v>4</v>
      </c>
      <c r="D8" s="591">
        <f>ROUND(SUMIF(J:J,C8,K:K)/1000,0)</f>
        <v>0</v>
      </c>
      <c r="G8" s="571"/>
      <c r="H8" s="572"/>
      <c r="I8" s="573"/>
      <c r="J8" s="573"/>
      <c r="K8" s="574"/>
      <c r="L8" s="550">
        <v>36</v>
      </c>
      <c r="M8" s="564">
        <v>1082000</v>
      </c>
      <c r="N8" s="565">
        <f t="shared" si="0"/>
        <v>38952000</v>
      </c>
      <c r="O8" s="565">
        <f t="shared" si="1"/>
        <v>19476000</v>
      </c>
    </row>
    <row r="9" spans="1:15" ht="15" customHeight="1">
      <c r="B9" s="584"/>
      <c r="C9" s="592">
        <v>5</v>
      </c>
      <c r="D9" s="593">
        <f t="shared" ref="D9:D13" si="2">ROUND(SUMIF(J:J,C9,K:K)/1000,0)</f>
        <v>0</v>
      </c>
      <c r="G9" s="571"/>
      <c r="H9" s="572"/>
      <c r="I9" s="573"/>
      <c r="J9" s="573"/>
      <c r="K9" s="574"/>
      <c r="L9" s="550">
        <v>50</v>
      </c>
      <c r="M9" s="564">
        <v>13000</v>
      </c>
      <c r="N9" s="565">
        <f t="shared" si="0"/>
        <v>650000</v>
      </c>
      <c r="O9" s="565">
        <f t="shared" si="1"/>
        <v>325000</v>
      </c>
    </row>
    <row r="10" spans="1:15" ht="15" customHeight="1">
      <c r="B10" s="584"/>
      <c r="C10" s="592">
        <v>6</v>
      </c>
      <c r="D10" s="593">
        <f t="shared" si="2"/>
        <v>0</v>
      </c>
      <c r="G10" s="571"/>
      <c r="H10" s="572"/>
      <c r="I10" s="573"/>
      <c r="J10" s="573"/>
      <c r="K10" s="574"/>
      <c r="L10" s="550">
        <v>140</v>
      </c>
      <c r="M10" s="564">
        <v>1100</v>
      </c>
      <c r="N10" s="565">
        <f t="shared" si="0"/>
        <v>154000</v>
      </c>
      <c r="O10" s="565">
        <f t="shared" si="1"/>
        <v>77000</v>
      </c>
    </row>
    <row r="11" spans="1:15" ht="15" customHeight="1">
      <c r="B11" s="584"/>
      <c r="C11" s="592">
        <v>7</v>
      </c>
      <c r="D11" s="593">
        <f t="shared" si="2"/>
        <v>0</v>
      </c>
      <c r="G11" s="571"/>
      <c r="H11" s="572"/>
      <c r="I11" s="573"/>
      <c r="J11" s="573"/>
      <c r="K11" s="574"/>
      <c r="L11" s="550">
        <v>18</v>
      </c>
      <c r="M11" s="564">
        <v>215000</v>
      </c>
      <c r="N11" s="565">
        <f t="shared" si="0"/>
        <v>3870000</v>
      </c>
      <c r="O11" s="565">
        <f t="shared" si="1"/>
        <v>1935000</v>
      </c>
    </row>
    <row r="12" spans="1:15" ht="15" customHeight="1">
      <c r="B12" s="584"/>
      <c r="C12" s="592">
        <v>8</v>
      </c>
      <c r="D12" s="593">
        <f t="shared" si="2"/>
        <v>0</v>
      </c>
      <c r="G12" s="571"/>
      <c r="H12" s="572"/>
      <c r="I12" s="573"/>
      <c r="J12" s="573"/>
      <c r="K12" s="574"/>
      <c r="L12" s="550">
        <v>38</v>
      </c>
      <c r="M12" s="564">
        <v>5200</v>
      </c>
      <c r="N12" s="565">
        <f t="shared" si="0"/>
        <v>197600</v>
      </c>
      <c r="O12" s="565">
        <f t="shared" si="1"/>
        <v>98800</v>
      </c>
    </row>
    <row r="13" spans="1:15" ht="15" customHeight="1">
      <c r="B13" s="584"/>
      <c r="C13" s="594">
        <v>9</v>
      </c>
      <c r="D13" s="595">
        <f t="shared" si="2"/>
        <v>0</v>
      </c>
      <c r="G13" s="571"/>
      <c r="H13" s="572"/>
      <c r="I13" s="573"/>
      <c r="J13" s="573"/>
      <c r="K13" s="574"/>
      <c r="L13" s="550">
        <v>41</v>
      </c>
      <c r="M13" s="564">
        <v>1710000</v>
      </c>
      <c r="N13" s="565">
        <f t="shared" si="0"/>
        <v>70110000</v>
      </c>
      <c r="O13" s="565">
        <f t="shared" si="1"/>
        <v>35055000</v>
      </c>
    </row>
    <row r="14" spans="1:15" ht="15" customHeight="1">
      <c r="B14" s="584"/>
      <c r="C14" s="596" t="s">
        <v>129</v>
      </c>
      <c r="D14" s="597">
        <f>SUM(D8:D13)</f>
        <v>0</v>
      </c>
      <c r="G14" s="571"/>
      <c r="H14" s="572"/>
      <c r="I14" s="573"/>
      <c r="J14" s="573"/>
      <c r="K14" s="574"/>
      <c r="L14" s="550">
        <v>90</v>
      </c>
      <c r="M14" s="564">
        <v>8000</v>
      </c>
      <c r="N14" s="565">
        <f t="shared" si="0"/>
        <v>720000</v>
      </c>
      <c r="O14" s="565">
        <f t="shared" si="1"/>
        <v>360000</v>
      </c>
    </row>
    <row r="15" spans="1:15" ht="15" customHeight="1">
      <c r="B15" s="584"/>
      <c r="C15" s="590">
        <v>10</v>
      </c>
      <c r="D15" s="591">
        <f t="shared" ref="D15:D20" si="3">ROUND(SUMIF(J:J,C15,K:K)/1000,0)</f>
        <v>0</v>
      </c>
      <c r="G15" s="571"/>
      <c r="H15" s="572"/>
      <c r="I15" s="573"/>
      <c r="J15" s="573"/>
      <c r="K15" s="574"/>
      <c r="L15" s="550">
        <v>140</v>
      </c>
      <c r="M15" s="564">
        <v>1200</v>
      </c>
      <c r="N15" s="565">
        <f t="shared" si="0"/>
        <v>168000</v>
      </c>
      <c r="O15" s="565">
        <f t="shared" si="1"/>
        <v>84000</v>
      </c>
    </row>
    <row r="16" spans="1:15" ht="15" customHeight="1">
      <c r="B16" s="584"/>
      <c r="C16" s="592">
        <v>11</v>
      </c>
      <c r="D16" s="593">
        <f t="shared" si="3"/>
        <v>0</v>
      </c>
      <c r="G16" s="571"/>
      <c r="H16" s="572"/>
      <c r="I16" s="573"/>
      <c r="J16" s="573"/>
      <c r="K16" s="574"/>
      <c r="L16" s="550">
        <v>22</v>
      </c>
      <c r="M16" s="564">
        <v>179000</v>
      </c>
      <c r="N16" s="565">
        <f t="shared" si="0"/>
        <v>3938000</v>
      </c>
      <c r="O16" s="565">
        <f t="shared" si="1"/>
        <v>1969000</v>
      </c>
    </row>
    <row r="17" spans="2:15" ht="15" customHeight="1">
      <c r="B17" s="584"/>
      <c r="C17" s="592">
        <v>12</v>
      </c>
      <c r="D17" s="593">
        <f t="shared" si="3"/>
        <v>0</v>
      </c>
      <c r="G17" s="571"/>
      <c r="H17" s="572"/>
      <c r="I17" s="573"/>
      <c r="J17" s="573"/>
      <c r="K17" s="574"/>
      <c r="L17" s="550">
        <v>40</v>
      </c>
      <c r="M17" s="564">
        <v>3000</v>
      </c>
      <c r="N17" s="565">
        <f t="shared" si="0"/>
        <v>120000</v>
      </c>
      <c r="O17" s="565">
        <f t="shared" si="1"/>
        <v>60000</v>
      </c>
    </row>
    <row r="18" spans="2:15" ht="15" customHeight="1">
      <c r="B18" s="584"/>
      <c r="C18" s="592">
        <v>1</v>
      </c>
      <c r="D18" s="593">
        <f t="shared" si="3"/>
        <v>0</v>
      </c>
      <c r="G18" s="571"/>
      <c r="H18" s="572"/>
      <c r="I18" s="573"/>
      <c r="J18" s="573"/>
      <c r="K18" s="574"/>
      <c r="L18" s="550">
        <v>51</v>
      </c>
      <c r="M18" s="564">
        <v>15200</v>
      </c>
      <c r="N18" s="565">
        <f t="shared" si="0"/>
        <v>775200</v>
      </c>
      <c r="O18" s="565">
        <f t="shared" si="1"/>
        <v>387600</v>
      </c>
    </row>
    <row r="19" spans="2:15" ht="15" customHeight="1">
      <c r="B19" s="584"/>
      <c r="C19" s="592">
        <v>2</v>
      </c>
      <c r="D19" s="593">
        <f t="shared" si="3"/>
        <v>0</v>
      </c>
      <c r="G19" s="571"/>
      <c r="H19" s="572"/>
      <c r="I19" s="573"/>
      <c r="J19" s="573"/>
      <c r="K19" s="574"/>
      <c r="L19" s="550">
        <v>270</v>
      </c>
      <c r="M19" s="564">
        <v>19800</v>
      </c>
      <c r="N19" s="565">
        <f t="shared" si="0"/>
        <v>5346000</v>
      </c>
      <c r="O19" s="565">
        <f t="shared" si="1"/>
        <v>2673000</v>
      </c>
    </row>
    <row r="20" spans="2:15" ht="15" customHeight="1">
      <c r="B20" s="584"/>
      <c r="C20" s="594">
        <v>3</v>
      </c>
      <c r="D20" s="595">
        <f t="shared" si="3"/>
        <v>0</v>
      </c>
      <c r="G20" s="571"/>
      <c r="H20" s="572"/>
      <c r="I20" s="573"/>
      <c r="J20" s="573"/>
      <c r="K20" s="574"/>
      <c r="L20" s="550">
        <v>30</v>
      </c>
      <c r="M20" s="564">
        <v>73000</v>
      </c>
      <c r="N20" s="565">
        <f t="shared" si="0"/>
        <v>2190000</v>
      </c>
      <c r="O20" s="565">
        <f t="shared" si="1"/>
        <v>1095000</v>
      </c>
    </row>
    <row r="21" spans="2:15" ht="15" customHeight="1">
      <c r="B21" s="584"/>
      <c r="C21" s="596" t="s">
        <v>130</v>
      </c>
      <c r="D21" s="597">
        <f>SUM(D15:D20)</f>
        <v>0</v>
      </c>
      <c r="G21" s="571"/>
      <c r="H21" s="572"/>
      <c r="I21" s="573"/>
      <c r="J21" s="573"/>
      <c r="K21" s="574"/>
      <c r="L21" s="550">
        <v>12.5</v>
      </c>
      <c r="M21" s="564">
        <v>19240</v>
      </c>
      <c r="N21" s="565">
        <f t="shared" si="0"/>
        <v>240500</v>
      </c>
      <c r="O21" s="565">
        <f t="shared" si="1"/>
        <v>120250</v>
      </c>
    </row>
    <row r="22" spans="2:15" ht="15" customHeight="1">
      <c r="B22" s="584"/>
      <c r="C22" s="598" t="s">
        <v>268</v>
      </c>
      <c r="D22" s="599">
        <f>SUM(D14,D21)</f>
        <v>0</v>
      </c>
      <c r="G22" s="571"/>
      <c r="H22" s="572"/>
      <c r="I22" s="573"/>
      <c r="J22" s="573"/>
      <c r="K22" s="574"/>
      <c r="L22" s="550">
        <v>80</v>
      </c>
      <c r="M22" s="570">
        <v>5000</v>
      </c>
      <c r="N22" s="565">
        <f t="shared" si="0"/>
        <v>400000</v>
      </c>
    </row>
    <row r="23" spans="2:15" ht="15" customHeight="1">
      <c r="G23" s="571"/>
      <c r="H23" s="572"/>
      <c r="I23" s="573"/>
      <c r="J23" s="573"/>
      <c r="K23" s="574"/>
      <c r="L23" s="550">
        <v>45</v>
      </c>
      <c r="M23" s="564">
        <v>92000</v>
      </c>
      <c r="N23" s="565">
        <f t="shared" si="0"/>
        <v>4140000</v>
      </c>
      <c r="O23" s="565">
        <f t="shared" ref="O23:O26" si="4">N23/2</f>
        <v>2070000</v>
      </c>
    </row>
    <row r="24" spans="2:15" ht="15" customHeight="1">
      <c r="B24" s="550" t="s">
        <v>249</v>
      </c>
      <c r="G24" s="571"/>
      <c r="H24" s="572"/>
      <c r="I24" s="573"/>
      <c r="J24" s="573"/>
      <c r="K24" s="574"/>
      <c r="L24" s="550">
        <v>64</v>
      </c>
      <c r="M24" s="564">
        <v>50000</v>
      </c>
      <c r="N24" s="565">
        <f t="shared" si="0"/>
        <v>3200000</v>
      </c>
      <c r="O24" s="565">
        <f t="shared" si="4"/>
        <v>1600000</v>
      </c>
    </row>
    <row r="25" spans="2:15" ht="15" customHeight="1">
      <c r="B25" s="550" t="s">
        <v>250</v>
      </c>
      <c r="G25" s="571"/>
      <c r="H25" s="572"/>
      <c r="I25" s="573"/>
      <c r="J25" s="573"/>
      <c r="K25" s="574"/>
      <c r="L25" s="550">
        <v>350</v>
      </c>
      <c r="M25" s="570">
        <v>30000</v>
      </c>
      <c r="N25" s="565">
        <f t="shared" si="0"/>
        <v>10500000</v>
      </c>
    </row>
    <row r="26" spans="2:15" ht="15" customHeight="1">
      <c r="C26" s="550" t="s">
        <v>251</v>
      </c>
      <c r="G26" s="571"/>
      <c r="H26" s="577"/>
      <c r="I26" s="573"/>
      <c r="J26" s="573"/>
      <c r="K26" s="574"/>
      <c r="L26" s="550">
        <v>30</v>
      </c>
      <c r="M26" s="564">
        <v>180280</v>
      </c>
      <c r="N26" s="565">
        <f t="shared" si="0"/>
        <v>5408400</v>
      </c>
      <c r="O26" s="565">
        <f t="shared" si="4"/>
        <v>2704200</v>
      </c>
    </row>
    <row r="27" spans="2:15" ht="15" customHeight="1">
      <c r="C27" s="550" t="s">
        <v>248</v>
      </c>
      <c r="G27" s="571"/>
      <c r="H27" s="577"/>
      <c r="I27" s="573"/>
      <c r="J27" s="573"/>
      <c r="K27" s="574"/>
      <c r="L27" s="550">
        <v>18</v>
      </c>
      <c r="M27" s="570">
        <v>187481</v>
      </c>
      <c r="N27" s="565">
        <f t="shared" si="0"/>
        <v>3374658</v>
      </c>
      <c r="O27" s="565"/>
    </row>
    <row r="28" spans="2:15" ht="15" customHeight="1">
      <c r="C28" s="550" t="s">
        <v>252</v>
      </c>
      <c r="G28" s="571"/>
      <c r="H28" s="577"/>
      <c r="I28" s="573"/>
      <c r="J28" s="573"/>
      <c r="K28" s="574"/>
      <c r="M28" s="565"/>
    </row>
    <row r="29" spans="2:15" ht="15" customHeight="1">
      <c r="C29" s="550" t="s">
        <v>253</v>
      </c>
      <c r="G29" s="571"/>
      <c r="H29" s="577"/>
      <c r="I29" s="573"/>
      <c r="J29" s="573"/>
      <c r="K29" s="574"/>
      <c r="M29" s="565"/>
    </row>
    <row r="30" spans="2:15" ht="15" customHeight="1">
      <c r="C30" s="550" t="s">
        <v>254</v>
      </c>
      <c r="G30" s="571"/>
      <c r="H30" s="577"/>
      <c r="I30" s="573"/>
      <c r="J30" s="573"/>
      <c r="K30" s="574"/>
    </row>
    <row r="31" spans="2:15" ht="15" customHeight="1">
      <c r="G31" s="571"/>
      <c r="H31" s="577"/>
      <c r="I31" s="573"/>
      <c r="J31" s="573"/>
      <c r="K31" s="574"/>
    </row>
    <row r="32" spans="2:15" ht="15" customHeight="1">
      <c r="G32" s="571"/>
      <c r="H32" s="577"/>
      <c r="I32" s="573"/>
      <c r="J32" s="573"/>
      <c r="K32" s="574"/>
    </row>
    <row r="33" spans="7:11" ht="15" customHeight="1">
      <c r="G33" s="571"/>
      <c r="H33" s="577"/>
      <c r="I33" s="573"/>
      <c r="J33" s="573"/>
      <c r="K33" s="574"/>
    </row>
    <row r="34" spans="7:11" ht="15" customHeight="1">
      <c r="G34" s="571"/>
      <c r="H34" s="577"/>
      <c r="I34" s="573"/>
      <c r="J34" s="573"/>
      <c r="K34" s="574"/>
    </row>
    <row r="35" spans="7:11" ht="15" customHeight="1">
      <c r="G35" s="571"/>
      <c r="H35" s="577"/>
      <c r="I35" s="573"/>
      <c r="J35" s="573"/>
      <c r="K35" s="574"/>
    </row>
    <row r="36" spans="7:11" ht="15" customHeight="1">
      <c r="G36" s="571"/>
      <c r="H36" s="577"/>
      <c r="I36" s="573"/>
      <c r="J36" s="573"/>
      <c r="K36" s="574"/>
    </row>
    <row r="37" spans="7:11" ht="15" customHeight="1">
      <c r="G37" s="571"/>
      <c r="H37" s="577"/>
      <c r="I37" s="573"/>
      <c r="J37" s="573"/>
      <c r="K37" s="574"/>
    </row>
    <row r="38" spans="7:11" ht="15" customHeight="1">
      <c r="G38" s="571"/>
      <c r="H38" s="577"/>
      <c r="I38" s="573"/>
      <c r="J38" s="573"/>
      <c r="K38" s="574"/>
    </row>
    <row r="39" spans="7:11" ht="15" customHeight="1">
      <c r="G39" s="571"/>
      <c r="H39" s="577"/>
      <c r="I39" s="573"/>
      <c r="J39" s="573"/>
      <c r="K39" s="574"/>
    </row>
    <row r="40" spans="7:11" ht="15" customHeight="1">
      <c r="G40" s="571"/>
      <c r="H40" s="577"/>
      <c r="I40" s="573"/>
      <c r="J40" s="573"/>
      <c r="K40" s="574"/>
    </row>
    <row r="41" spans="7:11" ht="15" customHeight="1">
      <c r="G41" s="571"/>
      <c r="H41" s="577"/>
      <c r="I41" s="573"/>
      <c r="J41" s="573"/>
      <c r="K41" s="574"/>
    </row>
    <row r="42" spans="7:11" ht="15" customHeight="1">
      <c r="G42" s="571"/>
      <c r="H42" s="577"/>
      <c r="I42" s="573"/>
      <c r="J42" s="573"/>
      <c r="K42" s="574"/>
    </row>
    <row r="43" spans="7:11" ht="15" customHeight="1">
      <c r="G43" s="571"/>
      <c r="H43" s="577"/>
      <c r="I43" s="573"/>
      <c r="J43" s="573"/>
      <c r="K43" s="574"/>
    </row>
    <row r="44" spans="7:11" ht="15" customHeight="1">
      <c r="G44" s="571"/>
      <c r="H44" s="577"/>
      <c r="I44" s="573"/>
      <c r="J44" s="573"/>
      <c r="K44" s="574"/>
    </row>
    <row r="45" spans="7:11" ht="15" customHeight="1">
      <c r="G45" s="571"/>
      <c r="H45" s="577"/>
      <c r="I45" s="573"/>
      <c r="J45" s="573"/>
      <c r="K45" s="574"/>
    </row>
    <row r="46" spans="7:11" ht="15" customHeight="1">
      <c r="G46" s="571"/>
      <c r="H46" s="577"/>
      <c r="I46" s="573"/>
      <c r="J46" s="573"/>
      <c r="K46" s="574"/>
    </row>
    <row r="47" spans="7:11" ht="15" customHeight="1">
      <c r="G47" s="571"/>
      <c r="H47" s="577"/>
      <c r="I47" s="573"/>
      <c r="J47" s="573"/>
      <c r="K47" s="574"/>
    </row>
    <row r="48" spans="7:11" ht="15" customHeight="1">
      <c r="G48" s="571"/>
      <c r="H48" s="577"/>
      <c r="I48" s="573"/>
      <c r="J48" s="573"/>
      <c r="K48" s="574"/>
    </row>
    <row r="49" spans="7:11" ht="15" customHeight="1">
      <c r="G49" s="571"/>
      <c r="H49" s="577"/>
      <c r="I49" s="573"/>
      <c r="J49" s="573"/>
      <c r="K49" s="574"/>
    </row>
    <row r="50" spans="7:11" ht="15" customHeight="1">
      <c r="G50" s="571"/>
      <c r="H50" s="577"/>
      <c r="I50" s="573"/>
      <c r="J50" s="573"/>
      <c r="K50" s="574"/>
    </row>
    <row r="51" spans="7:11" ht="15" customHeight="1">
      <c r="G51" s="571"/>
      <c r="H51" s="577"/>
      <c r="I51" s="573"/>
      <c r="J51" s="573"/>
      <c r="K51" s="574"/>
    </row>
    <row r="52" spans="7:11" ht="15" customHeight="1">
      <c r="G52" s="571"/>
      <c r="H52" s="577"/>
      <c r="I52" s="573"/>
      <c r="J52" s="573"/>
      <c r="K52" s="574"/>
    </row>
    <row r="53" spans="7:11" ht="15" customHeight="1">
      <c r="G53" s="571"/>
      <c r="H53" s="577"/>
      <c r="I53" s="573"/>
      <c r="J53" s="573"/>
      <c r="K53" s="574"/>
    </row>
    <row r="54" spans="7:11" ht="15" customHeight="1">
      <c r="G54" s="571"/>
      <c r="H54" s="577"/>
      <c r="I54" s="573"/>
      <c r="J54" s="573"/>
      <c r="K54" s="574"/>
    </row>
    <row r="55" spans="7:11" ht="15" customHeight="1">
      <c r="G55" s="571"/>
      <c r="H55" s="577"/>
      <c r="I55" s="573"/>
      <c r="J55" s="573"/>
      <c r="K55" s="574"/>
    </row>
    <row r="56" spans="7:11" ht="15" customHeight="1">
      <c r="G56" s="571"/>
      <c r="H56" s="577"/>
      <c r="I56" s="573"/>
      <c r="J56" s="573"/>
      <c r="K56" s="574"/>
    </row>
    <row r="57" spans="7:11" ht="15" customHeight="1">
      <c r="G57" s="571"/>
      <c r="H57" s="577"/>
      <c r="I57" s="573"/>
      <c r="J57" s="573"/>
      <c r="K57" s="574"/>
    </row>
    <row r="58" spans="7:11" ht="15" customHeight="1">
      <c r="G58" s="571"/>
      <c r="H58" s="577"/>
      <c r="I58" s="573"/>
      <c r="J58" s="573"/>
      <c r="K58" s="574"/>
    </row>
    <row r="59" spans="7:11" ht="15" customHeight="1">
      <c r="G59" s="578"/>
      <c r="H59" s="579"/>
      <c r="I59" s="580"/>
      <c r="J59" s="580"/>
      <c r="K59" s="575"/>
    </row>
    <row r="60" spans="7:11" ht="15" customHeight="1">
      <c r="G60" s="581"/>
      <c r="H60" s="582"/>
      <c r="I60" s="583"/>
      <c r="J60" s="583"/>
      <c r="K60" s="576">
        <f>SUM(K5:K59)</f>
        <v>0</v>
      </c>
    </row>
  </sheetData>
  <sheetProtection algorithmName="SHA-512" hashValue="VuM44sqfnaRgp/JJAYoo2rbHeHEScIN4rEXS4OW9KEo/V/aiX7NGgC0a5AWx1/kxaFTsUSP8zY+yQ92FUT69qA==" saltValue="kFHgZ+dX5V625hwde+uCTA==" spinCount="100000" sheet="1" objects="1" scenarios="1"/>
  <mergeCells count="1">
    <mergeCell ref="D5:F5"/>
  </mergeCells>
  <phoneticPr fontId="3"/>
  <printOptions horizontalCentered="1"/>
  <pageMargins left="0" right="0" top="0.39370078740157483" bottom="0" header="0.51181102362204722" footer="0.51181102362204722"/>
  <pageSetup paperSize="9" scale="66" orientation="portrait"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1" id="{61B3B841-87E3-42DD-922E-32AF9A4174D4}">
            <xm:f>基本情報!$D$13=10</xm:f>
            <x14:dxf>
              <fill>
                <patternFill>
                  <bgColor theme="0" tint="-0.24994659260841701"/>
                </patternFill>
              </fill>
            </x14:dxf>
          </x14:cfRule>
          <xm:sqref>D8:D14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12569-0D26-4B78-AA3D-77EC3C69F842}">
  <sheetPr codeName="Sheet10"/>
  <dimension ref="B2:I40"/>
  <sheetViews>
    <sheetView showGridLines="0" workbookViewId="0"/>
  </sheetViews>
  <sheetFormatPr defaultColWidth="9" defaultRowHeight="13.2"/>
  <cols>
    <col min="1" max="1" width="2.109375" style="600" customWidth="1"/>
    <col min="2" max="2" width="6.21875" style="600" customWidth="1"/>
    <col min="3" max="3" width="14" style="600" customWidth="1"/>
    <col min="4" max="4" width="16.109375" style="600" customWidth="1"/>
    <col min="5" max="16384" width="9" style="600"/>
  </cols>
  <sheetData>
    <row r="2" spans="2:9">
      <c r="B2" s="91" t="str">
        <f>"第"&amp;基本情報!C11&amp;"期"</f>
        <v>第期</v>
      </c>
      <c r="C2" s="273" t="e">
        <f>LEFT(基本情報!C13,4) &amp; "年" &amp; MID(基本情報!C13,5,2) &amp; "月～" &amp; LEFT(基本情報!C18,4) &amp; "年" &amp; MID(基本情報!C18,5,2) &amp; "月"</f>
        <v>#VALUE!</v>
      </c>
      <c r="E2" s="91" t="s">
        <v>277</v>
      </c>
    </row>
    <row r="4" spans="2:9">
      <c r="B4" s="585" t="s">
        <v>111</v>
      </c>
      <c r="C4" s="586">
        <f>基本情報!C4</f>
        <v>0</v>
      </c>
      <c r="D4" s="586">
        <f>基本情報!C6</f>
        <v>0</v>
      </c>
      <c r="E4" s="789" t="str">
        <f>基本情報!C8&amp;"・"&amp;基本情報!C7</f>
        <v>・</v>
      </c>
      <c r="F4" s="790"/>
      <c r="G4" s="790"/>
    </row>
    <row r="5" spans="2:9">
      <c r="E5" s="380"/>
      <c r="I5" s="449" t="s">
        <v>21</v>
      </c>
    </row>
    <row r="6" spans="2:9">
      <c r="B6" s="600" t="s">
        <v>255</v>
      </c>
    </row>
    <row r="7" spans="2:9">
      <c r="B7" s="601"/>
      <c r="C7" s="602" t="s">
        <v>256</v>
      </c>
      <c r="D7" s="603" t="s">
        <v>257</v>
      </c>
      <c r="E7" s="604"/>
      <c r="F7" s="605"/>
      <c r="G7" s="605"/>
      <c r="H7" s="605"/>
      <c r="I7" s="606"/>
    </row>
    <row r="8" spans="2:9">
      <c r="B8" s="607" t="s">
        <v>258</v>
      </c>
      <c r="C8" s="612"/>
      <c r="D8" s="613"/>
      <c r="E8" s="618"/>
      <c r="F8" s="619"/>
      <c r="G8" s="619"/>
      <c r="H8" s="619"/>
      <c r="I8" s="620"/>
    </row>
    <row r="9" spans="2:9">
      <c r="B9" s="608" t="s">
        <v>259</v>
      </c>
      <c r="C9" s="614"/>
      <c r="D9" s="615"/>
      <c r="E9" s="621"/>
      <c r="F9" s="622"/>
      <c r="G9" s="622"/>
      <c r="H9" s="622"/>
      <c r="I9" s="623"/>
    </row>
    <row r="10" spans="2:9">
      <c r="B10" s="608" t="s">
        <v>260</v>
      </c>
      <c r="C10" s="614"/>
      <c r="D10" s="615"/>
      <c r="E10" s="621"/>
      <c r="F10" s="622"/>
      <c r="G10" s="622"/>
      <c r="H10" s="622"/>
      <c r="I10" s="623"/>
    </row>
    <row r="11" spans="2:9">
      <c r="B11" s="608" t="s">
        <v>261</v>
      </c>
      <c r="C11" s="614"/>
      <c r="D11" s="615"/>
      <c r="E11" s="621"/>
      <c r="F11" s="622"/>
      <c r="G11" s="622"/>
      <c r="H11" s="622"/>
      <c r="I11" s="623"/>
    </row>
    <row r="12" spans="2:9">
      <c r="B12" s="608" t="s">
        <v>262</v>
      </c>
      <c r="C12" s="614"/>
      <c r="D12" s="615"/>
      <c r="E12" s="621"/>
      <c r="F12" s="622"/>
      <c r="G12" s="622"/>
      <c r="H12" s="622"/>
      <c r="I12" s="623"/>
    </row>
    <row r="13" spans="2:9">
      <c r="B13" s="609" t="s">
        <v>263</v>
      </c>
      <c r="C13" s="616"/>
      <c r="D13" s="617"/>
      <c r="E13" s="621"/>
      <c r="F13" s="622"/>
      <c r="G13" s="622"/>
      <c r="H13" s="622"/>
      <c r="I13" s="623"/>
    </row>
    <row r="14" spans="2:9">
      <c r="B14" s="601" t="s">
        <v>129</v>
      </c>
      <c r="C14" s="610">
        <f>SUM(C8:C13)</f>
        <v>0</v>
      </c>
      <c r="D14" s="611">
        <f>SUM(D8:D13)</f>
        <v>0</v>
      </c>
      <c r="E14" s="621"/>
      <c r="F14" s="622"/>
      <c r="G14" s="622"/>
      <c r="H14" s="622"/>
      <c r="I14" s="623"/>
    </row>
    <row r="15" spans="2:9">
      <c r="B15" s="607" t="s">
        <v>269</v>
      </c>
      <c r="C15" s="612"/>
      <c r="D15" s="613"/>
      <c r="E15" s="621"/>
      <c r="F15" s="622"/>
      <c r="G15" s="622"/>
      <c r="H15" s="622"/>
      <c r="I15" s="623"/>
    </row>
    <row r="16" spans="2:9">
      <c r="B16" s="608" t="s">
        <v>270</v>
      </c>
      <c r="C16" s="614"/>
      <c r="D16" s="615"/>
      <c r="E16" s="621"/>
      <c r="F16" s="622"/>
      <c r="G16" s="622"/>
      <c r="H16" s="622"/>
      <c r="I16" s="623"/>
    </row>
    <row r="17" spans="2:9">
      <c r="B17" s="608" t="s">
        <v>271</v>
      </c>
      <c r="C17" s="614"/>
      <c r="D17" s="615"/>
      <c r="E17" s="621"/>
      <c r="F17" s="622"/>
      <c r="G17" s="622"/>
      <c r="H17" s="622"/>
      <c r="I17" s="623"/>
    </row>
    <row r="18" spans="2:9">
      <c r="B18" s="608" t="s">
        <v>272</v>
      </c>
      <c r="C18" s="614"/>
      <c r="D18" s="615"/>
      <c r="E18" s="621"/>
      <c r="F18" s="622"/>
      <c r="G18" s="622"/>
      <c r="H18" s="622"/>
      <c r="I18" s="623"/>
    </row>
    <row r="19" spans="2:9">
      <c r="B19" s="608" t="s">
        <v>273</v>
      </c>
      <c r="C19" s="614"/>
      <c r="D19" s="615"/>
      <c r="E19" s="621"/>
      <c r="F19" s="622"/>
      <c r="G19" s="622"/>
      <c r="H19" s="622"/>
      <c r="I19" s="623"/>
    </row>
    <row r="20" spans="2:9">
      <c r="B20" s="609" t="s">
        <v>274</v>
      </c>
      <c r="C20" s="616"/>
      <c r="D20" s="617"/>
      <c r="E20" s="621"/>
      <c r="F20" s="622"/>
      <c r="G20" s="622"/>
      <c r="H20" s="622"/>
      <c r="I20" s="623"/>
    </row>
    <row r="21" spans="2:9">
      <c r="B21" s="601" t="s">
        <v>130</v>
      </c>
      <c r="C21" s="610">
        <f>SUM(C15:C20)</f>
        <v>0</v>
      </c>
      <c r="D21" s="611">
        <f>SUM(D15:D20)</f>
        <v>0</v>
      </c>
      <c r="E21" s="621"/>
      <c r="F21" s="622"/>
      <c r="G21" s="622"/>
      <c r="H21" s="622"/>
      <c r="I21" s="623"/>
    </row>
    <row r="22" spans="2:9">
      <c r="B22" s="601" t="s">
        <v>268</v>
      </c>
      <c r="C22" s="610">
        <f>SUM(C21,C14)</f>
        <v>0</v>
      </c>
      <c r="D22" s="611">
        <f>SUM(D21,D14)</f>
        <v>0</v>
      </c>
      <c r="E22" s="624"/>
      <c r="F22" s="625"/>
      <c r="G22" s="625"/>
      <c r="H22" s="625"/>
      <c r="I22" s="626"/>
    </row>
    <row r="24" spans="2:9">
      <c r="B24" s="600" t="s">
        <v>264</v>
      </c>
    </row>
    <row r="25" spans="2:9">
      <c r="B25" s="601"/>
      <c r="C25" s="602" t="s">
        <v>265</v>
      </c>
      <c r="D25" s="603" t="s">
        <v>266</v>
      </c>
      <c r="E25" s="604"/>
      <c r="F25" s="605"/>
      <c r="G25" s="605"/>
      <c r="H25" s="605"/>
      <c r="I25" s="606"/>
    </row>
    <row r="26" spans="2:9">
      <c r="B26" s="607" t="s">
        <v>258</v>
      </c>
      <c r="C26" s="612"/>
      <c r="D26" s="613"/>
      <c r="E26" s="618"/>
      <c r="F26" s="619"/>
      <c r="G26" s="619"/>
      <c r="H26" s="619"/>
      <c r="I26" s="620"/>
    </row>
    <row r="27" spans="2:9">
      <c r="B27" s="608" t="s">
        <v>259</v>
      </c>
      <c r="C27" s="614"/>
      <c r="D27" s="615"/>
      <c r="E27" s="621"/>
      <c r="F27" s="622"/>
      <c r="G27" s="622"/>
      <c r="H27" s="622"/>
      <c r="I27" s="623"/>
    </row>
    <row r="28" spans="2:9">
      <c r="B28" s="608" t="s">
        <v>260</v>
      </c>
      <c r="C28" s="614"/>
      <c r="D28" s="615"/>
      <c r="E28" s="621"/>
      <c r="F28" s="622"/>
      <c r="G28" s="622"/>
      <c r="H28" s="622"/>
      <c r="I28" s="623"/>
    </row>
    <row r="29" spans="2:9">
      <c r="B29" s="608" t="s">
        <v>261</v>
      </c>
      <c r="C29" s="614"/>
      <c r="D29" s="615"/>
      <c r="E29" s="621"/>
      <c r="F29" s="622"/>
      <c r="G29" s="622"/>
      <c r="H29" s="622"/>
      <c r="I29" s="623"/>
    </row>
    <row r="30" spans="2:9">
      <c r="B30" s="608" t="s">
        <v>262</v>
      </c>
      <c r="C30" s="614"/>
      <c r="D30" s="615"/>
      <c r="E30" s="621"/>
      <c r="F30" s="622"/>
      <c r="G30" s="622"/>
      <c r="H30" s="622"/>
      <c r="I30" s="623"/>
    </row>
    <row r="31" spans="2:9">
      <c r="B31" s="609" t="s">
        <v>263</v>
      </c>
      <c r="C31" s="616"/>
      <c r="D31" s="617"/>
      <c r="E31" s="621"/>
      <c r="F31" s="622"/>
      <c r="G31" s="622"/>
      <c r="H31" s="622"/>
      <c r="I31" s="623"/>
    </row>
    <row r="32" spans="2:9">
      <c r="B32" s="601" t="s">
        <v>129</v>
      </c>
      <c r="C32" s="610">
        <f>SUM(C26:C31)</f>
        <v>0</v>
      </c>
      <c r="D32" s="611">
        <f>SUM(D26:D31)</f>
        <v>0</v>
      </c>
      <c r="E32" s="621"/>
      <c r="F32" s="622"/>
      <c r="G32" s="622"/>
      <c r="H32" s="622"/>
      <c r="I32" s="623"/>
    </row>
    <row r="33" spans="2:9">
      <c r="B33" s="607" t="s">
        <v>269</v>
      </c>
      <c r="C33" s="612"/>
      <c r="D33" s="613"/>
      <c r="E33" s="621"/>
      <c r="F33" s="622"/>
      <c r="G33" s="622"/>
      <c r="H33" s="622"/>
      <c r="I33" s="623"/>
    </row>
    <row r="34" spans="2:9">
      <c r="B34" s="608" t="s">
        <v>270</v>
      </c>
      <c r="C34" s="614"/>
      <c r="D34" s="615"/>
      <c r="E34" s="621"/>
      <c r="F34" s="622"/>
      <c r="G34" s="622"/>
      <c r="H34" s="622"/>
      <c r="I34" s="623"/>
    </row>
    <row r="35" spans="2:9">
      <c r="B35" s="608" t="s">
        <v>271</v>
      </c>
      <c r="C35" s="614"/>
      <c r="D35" s="615"/>
      <c r="E35" s="621"/>
      <c r="F35" s="622"/>
      <c r="G35" s="622"/>
      <c r="H35" s="622"/>
      <c r="I35" s="623"/>
    </row>
    <row r="36" spans="2:9">
      <c r="B36" s="608" t="s">
        <v>272</v>
      </c>
      <c r="C36" s="614"/>
      <c r="D36" s="615"/>
      <c r="E36" s="621"/>
      <c r="F36" s="622"/>
      <c r="G36" s="622"/>
      <c r="H36" s="622"/>
      <c r="I36" s="623"/>
    </row>
    <row r="37" spans="2:9">
      <c r="B37" s="608" t="s">
        <v>273</v>
      </c>
      <c r="C37" s="614"/>
      <c r="D37" s="615"/>
      <c r="E37" s="621"/>
      <c r="F37" s="622"/>
      <c r="G37" s="622"/>
      <c r="H37" s="622"/>
      <c r="I37" s="623"/>
    </row>
    <row r="38" spans="2:9">
      <c r="B38" s="609" t="s">
        <v>274</v>
      </c>
      <c r="C38" s="616"/>
      <c r="D38" s="617"/>
      <c r="E38" s="621"/>
      <c r="F38" s="622"/>
      <c r="G38" s="622"/>
      <c r="H38" s="622"/>
      <c r="I38" s="623"/>
    </row>
    <row r="39" spans="2:9">
      <c r="B39" s="601" t="s">
        <v>130</v>
      </c>
      <c r="C39" s="610">
        <f>SUM(C33:C38)</f>
        <v>0</v>
      </c>
      <c r="D39" s="611">
        <f>SUM(D33:D38)</f>
        <v>0</v>
      </c>
      <c r="E39" s="621"/>
      <c r="F39" s="622"/>
      <c r="G39" s="622"/>
      <c r="H39" s="622"/>
      <c r="I39" s="623"/>
    </row>
    <row r="40" spans="2:9">
      <c r="B40" s="601" t="s">
        <v>268</v>
      </c>
      <c r="C40" s="610">
        <f>SUM(C39,C32)</f>
        <v>0</v>
      </c>
      <c r="D40" s="611">
        <f>SUM(D39,D32)</f>
        <v>0</v>
      </c>
      <c r="E40" s="624"/>
      <c r="F40" s="625"/>
      <c r="G40" s="625"/>
      <c r="H40" s="625"/>
      <c r="I40" s="626"/>
    </row>
  </sheetData>
  <phoneticPr fontId="3"/>
  <pageMargins left="0.7" right="0.34"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1" id="{903B0F01-3D6B-48EB-A2D3-D0A60EEED548}">
            <xm:f>基本情報!$D$13=10</xm:f>
            <x14:dxf>
              <fill>
                <patternFill>
                  <bgColor theme="0" tint="-0.24994659260841701"/>
                </patternFill>
              </fill>
            </x14:dxf>
          </x14:cfRule>
          <xm:sqref>C8:D14 C26:D32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DF4F6A-DBDF-4F5F-B64C-C4EA1ECDDD1B}">
  <sheetPr codeName="Sheet8"/>
  <dimension ref="B1:L57"/>
  <sheetViews>
    <sheetView showGridLines="0" zoomScaleNormal="100" workbookViewId="0"/>
  </sheetViews>
  <sheetFormatPr defaultColWidth="9" defaultRowHeight="15" customHeight="1"/>
  <cols>
    <col min="1" max="1" width="1.6640625" style="90" customWidth="1"/>
    <col min="2" max="2" width="11.6640625" style="63" customWidth="1"/>
    <col min="3" max="3" width="14.109375" style="63" bestFit="1" customWidth="1"/>
    <col min="4" max="12" width="11.6640625" style="63" customWidth="1"/>
    <col min="13" max="16384" width="9" style="90"/>
  </cols>
  <sheetData>
    <row r="1" spans="2:12" ht="30" customHeight="1">
      <c r="D1" s="93"/>
      <c r="G1" s="93"/>
      <c r="J1" s="93"/>
    </row>
    <row r="2" spans="2:12" ht="15" customHeight="1">
      <c r="B2" s="197" t="s">
        <v>282</v>
      </c>
      <c r="C2" s="197" t="s">
        <v>283</v>
      </c>
      <c r="D2" s="197" t="s">
        <v>284</v>
      </c>
      <c r="E2" s="197" t="s">
        <v>289</v>
      </c>
      <c r="G2" s="93"/>
      <c r="J2" s="93"/>
    </row>
    <row r="3" spans="2:12" ht="15" customHeight="1">
      <c r="B3" s="201" t="s">
        <v>51</v>
      </c>
      <c r="C3" s="629"/>
      <c r="D3" s="629"/>
      <c r="E3" s="629">
        <v>10</v>
      </c>
      <c r="F3" s="93"/>
      <c r="G3" s="93"/>
      <c r="H3" s="93"/>
      <c r="I3" s="93"/>
      <c r="J3" s="93"/>
      <c r="K3" s="93"/>
      <c r="L3" s="93"/>
    </row>
    <row r="4" spans="2:12" ht="15" customHeight="1">
      <c r="B4" s="201" t="s">
        <v>118</v>
      </c>
      <c r="C4" s="629"/>
      <c r="D4" s="629"/>
      <c r="E4" s="629" t="s">
        <v>176</v>
      </c>
      <c r="F4" s="93"/>
      <c r="G4" s="93"/>
      <c r="H4" s="93"/>
      <c r="I4" s="93"/>
      <c r="J4" s="93"/>
      <c r="K4" s="93"/>
      <c r="L4" s="93"/>
    </row>
    <row r="5" spans="2:12" ht="15" customHeight="1">
      <c r="B5" s="201" t="s">
        <v>52</v>
      </c>
      <c r="C5" s="629"/>
      <c r="D5" s="629"/>
      <c r="E5" s="629">
        <v>11</v>
      </c>
      <c r="F5" s="93"/>
      <c r="G5" s="93"/>
      <c r="H5" s="93"/>
      <c r="I5" s="93"/>
      <c r="J5" s="93"/>
      <c r="K5" s="93"/>
      <c r="L5" s="93"/>
    </row>
    <row r="6" spans="2:12" ht="15" customHeight="1">
      <c r="B6" s="201" t="s">
        <v>112</v>
      </c>
      <c r="C6" s="629"/>
      <c r="D6" s="629"/>
      <c r="E6" s="629" t="s">
        <v>177</v>
      </c>
      <c r="F6" s="93"/>
      <c r="G6" s="93"/>
      <c r="H6" s="93"/>
      <c r="I6" s="93"/>
      <c r="J6" s="93"/>
      <c r="K6" s="93"/>
      <c r="L6" s="93"/>
    </row>
    <row r="7" spans="2:12" ht="15" customHeight="1">
      <c r="B7" s="201" t="s">
        <v>53</v>
      </c>
      <c r="C7" s="629"/>
      <c r="D7" s="629"/>
      <c r="E7" s="629">
        <v>111</v>
      </c>
      <c r="F7" s="93"/>
      <c r="G7" s="93"/>
      <c r="H7" s="93"/>
      <c r="I7" s="93"/>
      <c r="J7" s="93"/>
      <c r="K7" s="93"/>
      <c r="L7" s="93"/>
    </row>
    <row r="8" spans="2:12" ht="15" customHeight="1">
      <c r="B8" s="201" t="s">
        <v>113</v>
      </c>
      <c r="C8" s="629"/>
      <c r="D8" s="629"/>
      <c r="E8" s="629" t="s">
        <v>178</v>
      </c>
      <c r="F8" s="93"/>
      <c r="G8" s="93"/>
      <c r="H8" s="93"/>
      <c r="I8" s="93"/>
      <c r="J8" s="93"/>
      <c r="K8" s="93"/>
      <c r="L8" s="93"/>
    </row>
    <row r="9" spans="2:12" ht="15" customHeight="1">
      <c r="B9" s="193" t="s">
        <v>279</v>
      </c>
      <c r="C9" s="630"/>
      <c r="D9" s="629"/>
      <c r="E9" s="630" t="s">
        <v>297</v>
      </c>
      <c r="F9" s="93"/>
      <c r="G9" s="93"/>
      <c r="H9" s="93"/>
      <c r="I9" s="93"/>
      <c r="J9" s="93"/>
      <c r="K9" s="93"/>
      <c r="L9" s="93"/>
    </row>
    <row r="10" spans="2:12" ht="15" customHeight="1">
      <c r="B10" s="193" t="s">
        <v>287</v>
      </c>
      <c r="C10" s="630"/>
      <c r="D10" s="629"/>
      <c r="E10" s="630" t="s">
        <v>280</v>
      </c>
      <c r="F10" s="93"/>
      <c r="G10" s="93"/>
      <c r="H10" s="93"/>
      <c r="I10" s="93"/>
      <c r="J10" s="93"/>
      <c r="K10" s="93"/>
      <c r="L10" s="93"/>
    </row>
    <row r="11" spans="2:12" ht="15" customHeight="1">
      <c r="B11" s="201" t="s">
        <v>119</v>
      </c>
      <c r="C11" s="629"/>
      <c r="D11" s="629"/>
      <c r="E11" s="629">
        <v>146</v>
      </c>
      <c r="F11" s="93"/>
      <c r="G11" s="93"/>
      <c r="H11" s="93"/>
      <c r="I11" s="93"/>
      <c r="J11" s="93"/>
      <c r="K11" s="93"/>
      <c r="L11" s="93"/>
    </row>
    <row r="12" spans="2:12" ht="15" customHeight="1">
      <c r="B12" s="201" t="s">
        <v>288</v>
      </c>
      <c r="C12" s="629">
        <f>C13-1</f>
        <v>-1</v>
      </c>
      <c r="D12" s="627">
        <f>VALUE(RIGHT(C12,2))</f>
        <v>-1</v>
      </c>
      <c r="E12" s="629">
        <f>E13-1</f>
        <v>202403</v>
      </c>
      <c r="F12" s="93"/>
      <c r="G12" s="93"/>
      <c r="H12" s="93"/>
      <c r="I12" s="93"/>
      <c r="J12" s="93"/>
      <c r="K12" s="93"/>
      <c r="L12" s="93"/>
    </row>
    <row r="13" spans="2:12" ht="15" customHeight="1">
      <c r="B13" s="201" t="s">
        <v>120</v>
      </c>
      <c r="C13" s="629"/>
      <c r="D13" s="627" t="e">
        <f t="shared" ref="D13:D18" si="0">VALUE(RIGHT(C13,2))</f>
        <v>#VALUE!</v>
      </c>
      <c r="E13" s="629">
        <v>202404</v>
      </c>
      <c r="F13" s="93"/>
      <c r="G13" s="93"/>
      <c r="H13" s="93"/>
      <c r="I13" s="93"/>
      <c r="J13" s="93"/>
      <c r="K13" s="93"/>
      <c r="L13" s="93"/>
    </row>
    <row r="14" spans="2:12" ht="15" customHeight="1">
      <c r="B14" s="201"/>
      <c r="C14" s="629">
        <f>C13+1</f>
        <v>1</v>
      </c>
      <c r="D14" s="627">
        <f t="shared" si="0"/>
        <v>1</v>
      </c>
      <c r="E14" s="629">
        <f>E13+1</f>
        <v>202405</v>
      </c>
      <c r="F14" s="93"/>
      <c r="G14" s="93"/>
      <c r="H14" s="93"/>
      <c r="I14" s="93"/>
      <c r="J14" s="93"/>
      <c r="K14" s="93"/>
      <c r="L14" s="93"/>
    </row>
    <row r="15" spans="2:12" ht="15" customHeight="1">
      <c r="B15" s="201"/>
      <c r="C15" s="629">
        <f t="shared" ref="C15:C18" si="1">C14+1</f>
        <v>2</v>
      </c>
      <c r="D15" s="627">
        <f t="shared" si="0"/>
        <v>2</v>
      </c>
      <c r="E15" s="629">
        <f t="shared" ref="E15:E18" si="2">E14+1</f>
        <v>202406</v>
      </c>
      <c r="F15" s="93"/>
      <c r="G15" s="93"/>
      <c r="H15" s="93"/>
      <c r="I15" s="93"/>
      <c r="J15" s="93"/>
      <c r="K15" s="93"/>
      <c r="L15" s="93"/>
    </row>
    <row r="16" spans="2:12" ht="15" customHeight="1">
      <c r="B16" s="201"/>
      <c r="C16" s="629" t="e">
        <f>IF(D13=10,LEFT(C13,4)+1 &amp; "01",C15+1)</f>
        <v>#VALUE!</v>
      </c>
      <c r="D16" s="627" t="e">
        <f t="shared" si="0"/>
        <v>#VALUE!</v>
      </c>
      <c r="E16" s="629">
        <f t="shared" si="2"/>
        <v>202407</v>
      </c>
      <c r="F16" s="93"/>
      <c r="G16" s="93"/>
      <c r="H16" s="93"/>
      <c r="I16" s="93"/>
      <c r="J16" s="93"/>
      <c r="K16" s="93"/>
      <c r="L16" s="93"/>
    </row>
    <row r="17" spans="2:12" ht="15" customHeight="1">
      <c r="B17" s="201"/>
      <c r="C17" s="629" t="e">
        <f t="shared" si="1"/>
        <v>#VALUE!</v>
      </c>
      <c r="D17" s="627" t="e">
        <f t="shared" si="0"/>
        <v>#VALUE!</v>
      </c>
      <c r="E17" s="629">
        <f t="shared" si="2"/>
        <v>202408</v>
      </c>
      <c r="F17" s="93"/>
      <c r="G17" s="93"/>
      <c r="H17" s="93"/>
      <c r="I17" s="93"/>
      <c r="J17" s="93"/>
      <c r="K17" s="93"/>
      <c r="L17" s="93"/>
    </row>
    <row r="18" spans="2:12" ht="15" customHeight="1">
      <c r="B18" s="201" t="s">
        <v>121</v>
      </c>
      <c r="C18" s="629" t="e">
        <f t="shared" si="1"/>
        <v>#VALUE!</v>
      </c>
      <c r="D18" s="627" t="e">
        <f t="shared" si="0"/>
        <v>#VALUE!</v>
      </c>
      <c r="E18" s="629">
        <f t="shared" si="2"/>
        <v>202409</v>
      </c>
      <c r="F18" s="93"/>
      <c r="G18" s="93"/>
      <c r="H18" s="93"/>
      <c r="I18" s="93"/>
      <c r="J18" s="93"/>
      <c r="K18" s="93"/>
      <c r="L18" s="93"/>
    </row>
    <row r="19" spans="2:12" ht="15" customHeight="1">
      <c r="B19" s="197" t="s">
        <v>114</v>
      </c>
      <c r="C19" s="627"/>
      <c r="D19" s="627"/>
      <c r="E19" s="627" t="s">
        <v>115</v>
      </c>
    </row>
    <row r="20" spans="2:12" ht="15" customHeight="1">
      <c r="B20" s="197">
        <v>1</v>
      </c>
      <c r="C20" s="627"/>
      <c r="D20" s="627"/>
      <c r="E20" s="627" t="s">
        <v>179</v>
      </c>
    </row>
    <row r="21" spans="2:12" ht="15" customHeight="1">
      <c r="B21" s="197">
        <v>2</v>
      </c>
      <c r="C21" s="627"/>
      <c r="D21" s="627"/>
      <c r="E21" s="627" t="s">
        <v>180</v>
      </c>
    </row>
    <row r="22" spans="2:12" ht="15" customHeight="1">
      <c r="B22" s="197">
        <v>3</v>
      </c>
      <c r="C22" s="627"/>
      <c r="D22" s="627"/>
      <c r="E22" s="627" t="s">
        <v>181</v>
      </c>
    </row>
    <row r="23" spans="2:12" ht="15" customHeight="1">
      <c r="B23" s="197">
        <v>4</v>
      </c>
      <c r="C23" s="627"/>
      <c r="D23" s="627"/>
      <c r="E23" s="627" t="s">
        <v>180</v>
      </c>
    </row>
    <row r="24" spans="2:12" ht="15" customHeight="1">
      <c r="B24" s="197">
        <v>5</v>
      </c>
      <c r="C24" s="627"/>
      <c r="D24" s="627"/>
      <c r="E24" s="627" t="s">
        <v>182</v>
      </c>
    </row>
    <row r="25" spans="2:12" ht="15" customHeight="1">
      <c r="B25" s="197">
        <v>6</v>
      </c>
      <c r="C25" s="627"/>
      <c r="D25" s="627"/>
      <c r="E25" s="627" t="s">
        <v>183</v>
      </c>
    </row>
    <row r="26" spans="2:12" ht="15" customHeight="1">
      <c r="B26" s="197">
        <v>7</v>
      </c>
      <c r="C26" s="627"/>
      <c r="D26" s="627"/>
      <c r="E26" s="627" t="s">
        <v>180</v>
      </c>
    </row>
    <row r="27" spans="2:12" ht="15" customHeight="1">
      <c r="B27" s="197">
        <v>8</v>
      </c>
      <c r="C27" s="627"/>
      <c r="D27" s="627"/>
      <c r="E27" s="627" t="s">
        <v>184</v>
      </c>
    </row>
    <row r="28" spans="2:12" ht="15" customHeight="1">
      <c r="B28" s="197">
        <v>9</v>
      </c>
      <c r="C28" s="627"/>
      <c r="D28" s="627"/>
      <c r="E28" s="627" t="s">
        <v>185</v>
      </c>
    </row>
    <row r="29" spans="2:12" ht="15" customHeight="1">
      <c r="B29" s="197" t="s">
        <v>285</v>
      </c>
      <c r="C29" s="730"/>
      <c r="D29" s="726"/>
      <c r="E29" s="726">
        <v>2.5000000000000001E-2</v>
      </c>
    </row>
    <row r="30" spans="2:12" ht="15" customHeight="1">
      <c r="B30" s="197" t="s">
        <v>286</v>
      </c>
      <c r="C30" s="730"/>
      <c r="D30" s="726"/>
      <c r="E30" s="726">
        <v>2.5000000000000001E-2</v>
      </c>
    </row>
    <row r="31" spans="2:12" ht="15" customHeight="1">
      <c r="B31" s="631" t="s">
        <v>294</v>
      </c>
      <c r="C31" s="197"/>
      <c r="D31" s="197"/>
      <c r="E31" s="197"/>
    </row>
    <row r="32" spans="2:12" ht="15" customHeight="1">
      <c r="B32" s="632"/>
      <c r="C32" s="197"/>
      <c r="D32" s="197"/>
      <c r="E32" s="197"/>
    </row>
    <row r="33" spans="2:5" ht="15" customHeight="1">
      <c r="B33" s="632"/>
      <c r="C33" s="197"/>
      <c r="D33" s="197"/>
      <c r="E33" s="197"/>
    </row>
    <row r="34" spans="2:5" ht="15" customHeight="1">
      <c r="B34" s="632"/>
      <c r="C34" s="197"/>
      <c r="D34" s="197"/>
      <c r="E34" s="197"/>
    </row>
    <row r="35" spans="2:5" ht="15" customHeight="1">
      <c r="B35" s="632"/>
      <c r="C35" s="197"/>
      <c r="D35" s="197"/>
      <c r="E35" s="197"/>
    </row>
    <row r="36" spans="2:5" ht="15" customHeight="1">
      <c r="B36" s="632"/>
      <c r="C36" s="197"/>
      <c r="D36" s="197"/>
      <c r="E36" s="197"/>
    </row>
    <row r="37" spans="2:5" ht="15" customHeight="1">
      <c r="B37" s="632"/>
      <c r="C37" s="197"/>
      <c r="D37" s="197"/>
      <c r="E37" s="197"/>
    </row>
    <row r="38" spans="2:5" ht="15" customHeight="1">
      <c r="B38" s="631" t="s">
        <v>293</v>
      </c>
      <c r="C38" s="197"/>
      <c r="D38" s="197"/>
      <c r="E38" s="197"/>
    </row>
    <row r="39" spans="2:5" ht="15" customHeight="1">
      <c r="B39" s="632" t="s">
        <v>295</v>
      </c>
      <c r="C39" s="197"/>
      <c r="D39" s="197"/>
      <c r="E39" s="197"/>
    </row>
    <row r="40" spans="2:5" ht="15" customHeight="1">
      <c r="B40" s="632"/>
      <c r="C40" s="197"/>
      <c r="D40" s="197"/>
      <c r="E40" s="197"/>
    </row>
    <row r="41" spans="2:5" ht="15" customHeight="1">
      <c r="B41" s="632"/>
      <c r="C41" s="197"/>
      <c r="D41" s="197"/>
      <c r="E41" s="197"/>
    </row>
    <row r="42" spans="2:5" ht="15" customHeight="1">
      <c r="B42" s="632"/>
      <c r="C42" s="197"/>
      <c r="D42" s="197"/>
      <c r="E42" s="197"/>
    </row>
    <row r="43" spans="2:5" ht="15" customHeight="1">
      <c r="B43" s="632"/>
      <c r="C43" s="197"/>
      <c r="D43" s="197"/>
      <c r="E43" s="197"/>
    </row>
    <row r="44" spans="2:5" ht="15" customHeight="1">
      <c r="B44" s="632"/>
      <c r="C44" s="197"/>
      <c r="D44" s="197"/>
      <c r="E44" s="197"/>
    </row>
    <row r="45" spans="2:5" ht="15" customHeight="1">
      <c r="B45" s="632"/>
      <c r="C45" s="197"/>
      <c r="D45" s="197"/>
      <c r="E45" s="197"/>
    </row>
    <row r="46" spans="2:5" ht="15" customHeight="1">
      <c r="B46" s="632"/>
      <c r="C46" s="197"/>
      <c r="D46" s="197"/>
      <c r="E46" s="197"/>
    </row>
    <row r="47" spans="2:5" ht="15" customHeight="1">
      <c r="B47" s="632"/>
      <c r="C47" s="197"/>
      <c r="D47" s="197"/>
      <c r="E47" s="197"/>
    </row>
    <row r="48" spans="2:5" ht="15" customHeight="1">
      <c r="B48" s="632"/>
      <c r="C48" s="197"/>
      <c r="D48" s="197"/>
      <c r="E48" s="197"/>
    </row>
    <row r="49" spans="2:5" ht="15" customHeight="1">
      <c r="B49" s="632"/>
      <c r="C49" s="197"/>
      <c r="D49" s="197"/>
      <c r="E49" s="197"/>
    </row>
    <row r="50" spans="2:5" ht="15" customHeight="1">
      <c r="B50" s="632"/>
      <c r="C50" s="197"/>
      <c r="D50" s="197"/>
      <c r="E50" s="197"/>
    </row>
    <row r="51" spans="2:5" ht="15" customHeight="1" thickBot="1">
      <c r="B51" s="632"/>
      <c r="C51" s="642"/>
      <c r="D51" s="642"/>
      <c r="E51" s="642"/>
    </row>
    <row r="52" spans="2:5" ht="15" customHeight="1">
      <c r="B52" s="632" t="s">
        <v>296</v>
      </c>
      <c r="C52" s="643"/>
      <c r="D52" s="643"/>
      <c r="E52" s="643"/>
    </row>
    <row r="53" spans="2:5" ht="15" customHeight="1">
      <c r="B53" s="632"/>
      <c r="C53" s="197"/>
      <c r="D53" s="197"/>
      <c r="E53" s="197"/>
    </row>
    <row r="54" spans="2:5" ht="15" customHeight="1">
      <c r="B54" s="632"/>
      <c r="C54" s="197"/>
      <c r="D54" s="197"/>
      <c r="E54" s="197"/>
    </row>
    <row r="55" spans="2:5" ht="15" customHeight="1">
      <c r="B55" s="632"/>
      <c r="C55" s="197"/>
      <c r="D55" s="197"/>
      <c r="E55" s="197"/>
    </row>
    <row r="56" spans="2:5" ht="15" customHeight="1">
      <c r="B56" s="633"/>
      <c r="C56" s="197"/>
      <c r="D56" s="197"/>
      <c r="E56" s="197"/>
    </row>
    <row r="57" spans="2:5" ht="15" customHeight="1">
      <c r="B57" s="732" t="s">
        <v>301</v>
      </c>
      <c r="C57" s="732"/>
      <c r="D57" s="732"/>
      <c r="E57" s="732">
        <v>100</v>
      </c>
    </row>
  </sheetData>
  <sheetProtection algorithmName="SHA-512" hashValue="Kbo30sHRoggXydb3WLASHBKfn7TaXgEmgq/ICxu3kM5M1CagYq/9I66XOZhGF3kOXXKTCL+OwULExt5rk5ehhQ==" saltValue="GLLsAig01WhmlJnW0GXZeQ==" spinCount="100000" sheet="1" objects="1" scenarios="1"/>
  <phoneticPr fontId="3"/>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Run_Main_Macro_Click">
                <anchor moveWithCells="1" sizeWithCells="1">
                  <from>
                    <xdr:col>1</xdr:col>
                    <xdr:colOff>22860</xdr:colOff>
                    <xdr:row>0</xdr:row>
                    <xdr:rowOff>68580</xdr:rowOff>
                  </from>
                  <to>
                    <xdr:col>2</xdr:col>
                    <xdr:colOff>213360</xdr:colOff>
                    <xdr:row>0</xdr:row>
                    <xdr:rowOff>312420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3</vt:i4>
      </vt:variant>
    </vt:vector>
  </HeadingPairs>
  <TitlesOfParts>
    <vt:vector size="14" baseType="lpstr">
      <vt:lpstr>Ａ</vt:lpstr>
      <vt:lpstr>Ｂ</vt:lpstr>
      <vt:lpstr>Ｃ１</vt:lpstr>
      <vt:lpstr>Ｃ</vt:lpstr>
      <vt:lpstr>非_D</vt:lpstr>
      <vt:lpstr>年間予算表</vt:lpstr>
      <vt:lpstr>年間予算_営業費</vt:lpstr>
      <vt:lpstr>雑収入雑損失</vt:lpstr>
      <vt:lpstr>受取配当金</vt:lpstr>
      <vt:lpstr>営業外収益</vt:lpstr>
      <vt:lpstr>基本情報</vt:lpstr>
      <vt:lpstr>Ａ!Print_Area</vt:lpstr>
      <vt:lpstr>非_D!Print_Area</vt:lpstr>
      <vt:lpstr>Ａ!Print_Titles</vt:lpstr>
    </vt:vector>
  </TitlesOfParts>
  <Company>田村駒株式会社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田村駒株式会社</dc:creator>
  <cp:lastModifiedBy>岡﨑 豪</cp:lastModifiedBy>
  <cp:lastPrinted>2025-12-11T06:39:31Z</cp:lastPrinted>
  <dcterms:created xsi:type="dcterms:W3CDTF">1997-11-18T06:47:45Z</dcterms:created>
  <dcterms:modified xsi:type="dcterms:W3CDTF">2026-02-24T08:01:24Z</dcterms:modified>
</cp:coreProperties>
</file>